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hidePivotFieldList="1" defaultThemeVersion="124226"/>
  <bookViews>
    <workbookView xWindow="480" yWindow="435" windowWidth="16020" windowHeight="7245" activeTab="2"/>
  </bookViews>
  <sheets>
    <sheet name="Gráf2" sheetId="5" r:id="rId1"/>
    <sheet name="Gráf1" sheetId="4" r:id="rId2"/>
    <sheet name="Plan1" sheetId="1" r:id="rId3"/>
    <sheet name="Plan2" sheetId="2" r:id="rId4"/>
    <sheet name="Plan3" sheetId="3" r:id="rId5"/>
  </sheets>
  <calcPr calcId="145621"/>
</workbook>
</file>

<file path=xl/calcChain.xml><?xml version="1.0" encoding="utf-8"?>
<calcChain xmlns="http://schemas.openxmlformats.org/spreadsheetml/2006/main">
  <c r="N4" i="1" l="1"/>
  <c r="K4" i="1"/>
  <c r="AC7" i="1"/>
  <c r="K38" i="1" l="1"/>
  <c r="K37" i="1"/>
  <c r="K36" i="1"/>
  <c r="K54" i="1"/>
  <c r="M54" i="1" s="1"/>
  <c r="K55" i="1"/>
  <c r="M55" i="1" s="1"/>
  <c r="K56" i="1"/>
  <c r="M56" i="1" s="1"/>
  <c r="K53" i="1"/>
  <c r="K39" i="1"/>
  <c r="AC53" i="1"/>
  <c r="AC54" i="1"/>
  <c r="AC55" i="1"/>
  <c r="AC56" i="1"/>
  <c r="AC57" i="1"/>
  <c r="AC58" i="1"/>
  <c r="AC59" i="1"/>
  <c r="AC60" i="1"/>
  <c r="AC61" i="1"/>
  <c r="AC62" i="1"/>
  <c r="AC52" i="1"/>
  <c r="Q56" i="1"/>
  <c r="Q55" i="1"/>
  <c r="Q54" i="1"/>
  <c r="E54" i="1"/>
  <c r="F54" i="1" s="1"/>
  <c r="Q53" i="1"/>
  <c r="AC9" i="1"/>
  <c r="O54" i="1" l="1"/>
  <c r="O56" i="1"/>
  <c r="O55" i="1"/>
  <c r="L55" i="1"/>
  <c r="L54" i="1"/>
  <c r="L56" i="1"/>
  <c r="L53" i="1"/>
  <c r="M53" i="1"/>
  <c r="P53" i="1" s="1"/>
  <c r="N54" i="1"/>
  <c r="N55" i="1"/>
  <c r="N56" i="1"/>
  <c r="P56" i="1"/>
  <c r="P54" i="1"/>
  <c r="P55" i="1"/>
  <c r="AC35" i="1"/>
  <c r="L39" i="1"/>
  <c r="L38" i="1"/>
  <c r="M37" i="1"/>
  <c r="M36" i="1"/>
  <c r="AC36" i="1"/>
  <c r="AC37" i="1"/>
  <c r="AC38" i="1"/>
  <c r="AC39" i="1"/>
  <c r="AC40" i="1"/>
  <c r="AC41" i="1"/>
  <c r="AC42" i="1"/>
  <c r="AC43" i="1"/>
  <c r="AC44" i="1"/>
  <c r="AC45" i="1"/>
  <c r="Q39" i="1"/>
  <c r="Q38" i="1"/>
  <c r="Q37" i="1"/>
  <c r="E37" i="1"/>
  <c r="F37" i="1" s="1"/>
  <c r="Q36" i="1"/>
  <c r="K7" i="1"/>
  <c r="K6" i="1"/>
  <c r="K5" i="1"/>
  <c r="AC16" i="1"/>
  <c r="AC17" i="1"/>
  <c r="AC18" i="1"/>
  <c r="AC19" i="1"/>
  <c r="AC20" i="1"/>
  <c r="AC21" i="1"/>
  <c r="AC22" i="1"/>
  <c r="AC23" i="1"/>
  <c r="AC24" i="1"/>
  <c r="AC25" i="1"/>
  <c r="AC15" i="1"/>
  <c r="Q19" i="1"/>
  <c r="Q18" i="1"/>
  <c r="Q17" i="1"/>
  <c r="Q16" i="1"/>
  <c r="AC2" i="1"/>
  <c r="AC3" i="1"/>
  <c r="AC4" i="1"/>
  <c r="AC5" i="1"/>
  <c r="AC6" i="1"/>
  <c r="AC8" i="1"/>
  <c r="AC10" i="1"/>
  <c r="AC11" i="1"/>
  <c r="AC12" i="1"/>
  <c r="K17" i="1"/>
  <c r="M17" i="1" s="1"/>
  <c r="K18" i="1"/>
  <c r="M18" i="1" s="1"/>
  <c r="K19" i="1"/>
  <c r="M19" i="1" s="1"/>
  <c r="K16" i="1"/>
  <c r="M16" i="1" s="1"/>
  <c r="E5" i="1"/>
  <c r="F5" i="1" s="1"/>
  <c r="Q5" i="1"/>
  <c r="Q6" i="1"/>
  <c r="Q7" i="1"/>
  <c r="Q4" i="1"/>
  <c r="E17" i="1"/>
  <c r="F17" i="1" s="1"/>
  <c r="P16" i="1" l="1"/>
  <c r="P19" i="1"/>
  <c r="L57" i="1"/>
  <c r="O53" i="1"/>
  <c r="N53" i="1"/>
  <c r="M4" i="1"/>
  <c r="M5" i="1"/>
  <c r="P5" i="1" s="1"/>
  <c r="M6" i="1"/>
  <c r="N6" i="1" s="1"/>
  <c r="M7" i="1"/>
  <c r="N7" i="1" s="1"/>
  <c r="P18" i="1"/>
  <c r="P17" i="1"/>
  <c r="M38" i="1"/>
  <c r="P38" i="1" s="1"/>
  <c r="M39" i="1"/>
  <c r="O39" i="1" s="1"/>
  <c r="O37" i="1"/>
  <c r="N37" i="1"/>
  <c r="P36" i="1"/>
  <c r="O36" i="1"/>
  <c r="N36" i="1"/>
  <c r="L36" i="1"/>
  <c r="L37" i="1"/>
  <c r="P37" i="1"/>
  <c r="N16" i="1"/>
  <c r="O16" i="1"/>
  <c r="N19" i="1"/>
  <c r="O19" i="1"/>
  <c r="N18" i="1"/>
  <c r="O18" i="1"/>
  <c r="L16" i="1"/>
  <c r="N17" i="1"/>
  <c r="O17" i="1"/>
  <c r="L17" i="1"/>
  <c r="L18" i="1"/>
  <c r="L19" i="1"/>
  <c r="L5" i="1"/>
  <c r="L6" i="1"/>
  <c r="L4" i="1"/>
  <c r="L7" i="1"/>
  <c r="L40" i="1" l="1"/>
  <c r="L20" i="1"/>
  <c r="L8" i="1"/>
  <c r="P6" i="1"/>
  <c r="P4" i="1"/>
  <c r="O6" i="1"/>
  <c r="O4" i="1"/>
  <c r="P7" i="1"/>
  <c r="O7" i="1"/>
  <c r="O5" i="1"/>
  <c r="N5" i="1"/>
  <c r="N38" i="1"/>
  <c r="O38" i="1"/>
  <c r="P39" i="1"/>
  <c r="N39" i="1"/>
</calcChain>
</file>

<file path=xl/sharedStrings.xml><?xml version="1.0" encoding="utf-8"?>
<sst xmlns="http://schemas.openxmlformats.org/spreadsheetml/2006/main" count="96" uniqueCount="27">
  <si>
    <t>AND</t>
  </si>
  <si>
    <t>OR</t>
  </si>
  <si>
    <t>x1</t>
  </si>
  <si>
    <t>x2</t>
  </si>
  <si>
    <t>w1</t>
  </si>
  <si>
    <t>w2</t>
  </si>
  <si>
    <t>Bias</t>
  </si>
  <si>
    <t>Saída</t>
  </si>
  <si>
    <t>Verif</t>
  </si>
  <si>
    <t>Erro</t>
  </si>
  <si>
    <t>Delta W1</t>
  </si>
  <si>
    <t>Delta W2</t>
  </si>
  <si>
    <t>Delta Bias</t>
  </si>
  <si>
    <t>Instrução: primeiro clique em reiniciar, depois, no botão Roda 1 passo (várias vezes até a coluna M ficar toda verde)</t>
  </si>
  <si>
    <t>Função de ativação</t>
  </si>
  <si>
    <t>saída</t>
  </si>
  <si>
    <t>sgn(v)</t>
  </si>
  <si>
    <t>b(n)</t>
  </si>
  <si>
    <t>target</t>
  </si>
  <si>
    <t>Tx de aprendizado:</t>
  </si>
  <si>
    <t>w0</t>
  </si>
  <si>
    <t>Adaptado de: https://www.youtube.com/watch?v=M5RQVCK_J0Y e das apostilas de aula</t>
  </si>
  <si>
    <t>Tx.Ap</t>
  </si>
  <si>
    <t>XOR (apenas para demonstração, pois não funciona em redes de apenas uma camada como esta)</t>
  </si>
  <si>
    <t>XOR</t>
  </si>
  <si>
    <t>NAND</t>
  </si>
  <si>
    <t>Passo: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</si>
</sst>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4" fillId="5" borderId="0" xfId="0" applyFont="1" applyFill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5" fillId="0" borderId="0" xfId="0" applyFont="1"/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</cellXfs>
  <cellStyles count="1">
    <cellStyle name="Normal" xfId="0" builtinId="0"/>
  </cellStyles>
  <dxfs count="24">
    <dxf>
      <font>
        <b/>
        <i val="0"/>
        <color rgb="FFFF0000"/>
      </font>
      <fill>
        <patternFill>
          <fgColor theme="9" tint="0.39988402966399123"/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59996337778862885"/>
        </patternFill>
      </fill>
    </dxf>
    <dxf>
      <font>
        <b/>
        <i val="0"/>
        <color rgb="FFFF0000"/>
      </font>
      <fill>
        <patternFill>
          <fgColor theme="9" tint="0.39988402966399123"/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59996337778862885"/>
        </patternFill>
      </fill>
    </dxf>
    <dxf>
      <font>
        <b/>
        <i val="0"/>
        <color rgb="FFFF0000"/>
      </font>
      <fill>
        <patternFill>
          <fgColor theme="9" tint="0.39988402966399123"/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59996337778862885"/>
        </patternFill>
      </fill>
    </dxf>
    <dxf>
      <font>
        <b/>
        <i val="0"/>
        <color rgb="FFFF0000"/>
      </font>
      <fill>
        <patternFill>
          <fgColor theme="9" tint="0.39988402966399123"/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1.xml"/><Relationship Id="rId7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10" Type="http://schemas.microsoft.com/office/2006/relationships/vbaProject" Target="vbaProject.bin"/><Relationship Id="rId4" Type="http://schemas.openxmlformats.org/officeDocument/2006/relationships/worksheet" Target="worksheets/sheet2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Plan1!$A$4:$L$4</c:f>
              <c:strCache>
                <c:ptCount val="1"/>
                <c:pt idx="0">
                  <c:v>x1 1 0,5 b(n) Saída sgn(v) 0 0 0 0 OK</c:v>
                </c:pt>
              </c:strCache>
            </c:strRef>
          </c:tx>
          <c:invertIfNegative val="0"/>
          <c:cat>
            <c:multiLvlStrRef>
              <c:f>Plan1!$M$1:$Q$3</c:f>
              <c:multiLvlStrCache>
                <c:ptCount val="5"/>
                <c:lvl>
                  <c:pt idx="0">
                    <c:v>Erro</c:v>
                  </c:pt>
                  <c:pt idx="1">
                    <c:v>Delta W1</c:v>
                  </c:pt>
                  <c:pt idx="2">
                    <c:v>Delta W2</c:v>
                  </c:pt>
                  <c:pt idx="3">
                    <c:v>Delta Bias</c:v>
                  </c:pt>
                  <c:pt idx="4">
                    <c:v>Tx.Ap</c:v>
                  </c:pt>
                </c:lvl>
                <c:lvl>
                  <c:pt idx="2">
                    <c:v>Tx de aprendizado:</c:v>
                  </c:pt>
                  <c:pt idx="3">
                    <c:v>0,5</c:v>
                  </c:pt>
                </c:lvl>
              </c:multiLvlStrCache>
            </c:multiLvlStrRef>
          </c:cat>
          <c:val>
            <c:numRef>
              <c:f>Plan1!$M$4:$Q$4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</c:numCache>
            </c:numRef>
          </c:val>
        </c:ser>
        <c:ser>
          <c:idx val="1"/>
          <c:order val="1"/>
          <c:tx>
            <c:strRef>
              <c:f>Plan1!$A$5:$L$5</c:f>
              <c:strCache>
                <c:ptCount val="1"/>
                <c:pt idx="0">
                  <c:v>x1 1 0,5 -0,5 0 0 0 1 0 0 OK</c:v>
                </c:pt>
              </c:strCache>
            </c:strRef>
          </c:tx>
          <c:invertIfNegative val="0"/>
          <c:cat>
            <c:multiLvlStrRef>
              <c:f>Plan1!$M$1:$Q$3</c:f>
              <c:multiLvlStrCache>
                <c:ptCount val="5"/>
                <c:lvl>
                  <c:pt idx="0">
                    <c:v>Erro</c:v>
                  </c:pt>
                  <c:pt idx="1">
                    <c:v>Delta W1</c:v>
                  </c:pt>
                  <c:pt idx="2">
                    <c:v>Delta W2</c:v>
                  </c:pt>
                  <c:pt idx="3">
                    <c:v>Delta Bias</c:v>
                  </c:pt>
                  <c:pt idx="4">
                    <c:v>Tx.Ap</c:v>
                  </c:pt>
                </c:lvl>
                <c:lvl>
                  <c:pt idx="2">
                    <c:v>Tx de aprendizado:</c:v>
                  </c:pt>
                  <c:pt idx="3">
                    <c:v>0,5</c:v>
                  </c:pt>
                </c:lvl>
              </c:multiLvlStrCache>
            </c:multiLvlStrRef>
          </c:cat>
          <c:val>
            <c:numRef>
              <c:f>Plan1!$M$5:$Q$5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</c:numCache>
            </c:numRef>
          </c:val>
        </c:ser>
        <c:ser>
          <c:idx val="2"/>
          <c:order val="2"/>
          <c:tx>
            <c:strRef>
              <c:f>Plan1!$A$6:$L$6</c:f>
              <c:strCache>
                <c:ptCount val="1"/>
                <c:pt idx="0">
                  <c:v>x1 1 0,5 w0 0 0 1 0 0 0 OK</c:v>
                </c:pt>
              </c:strCache>
            </c:strRef>
          </c:tx>
          <c:invertIfNegative val="0"/>
          <c:cat>
            <c:multiLvlStrRef>
              <c:f>Plan1!$M$1:$Q$3</c:f>
              <c:multiLvlStrCache>
                <c:ptCount val="5"/>
                <c:lvl>
                  <c:pt idx="0">
                    <c:v>Erro</c:v>
                  </c:pt>
                  <c:pt idx="1">
                    <c:v>Delta W1</c:v>
                  </c:pt>
                  <c:pt idx="2">
                    <c:v>Delta W2</c:v>
                  </c:pt>
                  <c:pt idx="3">
                    <c:v>Delta Bias</c:v>
                  </c:pt>
                  <c:pt idx="4">
                    <c:v>Tx.Ap</c:v>
                  </c:pt>
                </c:lvl>
                <c:lvl>
                  <c:pt idx="2">
                    <c:v>Tx de aprendizado:</c:v>
                  </c:pt>
                  <c:pt idx="3">
                    <c:v>0,5</c:v>
                  </c:pt>
                </c:lvl>
              </c:multiLvlStrCache>
            </c:multiLvlStrRef>
          </c:cat>
          <c:val>
            <c:numRef>
              <c:f>Plan1!$M$6:$Q$6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</c:numCache>
            </c:numRef>
          </c:val>
        </c:ser>
        <c:ser>
          <c:idx val="3"/>
          <c:order val="3"/>
          <c:tx>
            <c:strRef>
              <c:f>Plan1!$A$7:$L$7</c:f>
              <c:strCache>
                <c:ptCount val="1"/>
                <c:pt idx="0">
                  <c:v>x2 0 w2 1 1 1 1 OK</c:v>
                </c:pt>
              </c:strCache>
            </c:strRef>
          </c:tx>
          <c:invertIfNegative val="0"/>
          <c:cat>
            <c:multiLvlStrRef>
              <c:f>Plan1!$M$1:$Q$3</c:f>
              <c:multiLvlStrCache>
                <c:ptCount val="5"/>
                <c:lvl>
                  <c:pt idx="0">
                    <c:v>Erro</c:v>
                  </c:pt>
                  <c:pt idx="1">
                    <c:v>Delta W1</c:v>
                  </c:pt>
                  <c:pt idx="2">
                    <c:v>Delta W2</c:v>
                  </c:pt>
                  <c:pt idx="3">
                    <c:v>Delta Bias</c:v>
                  </c:pt>
                  <c:pt idx="4">
                    <c:v>Tx.Ap</c:v>
                  </c:pt>
                </c:lvl>
                <c:lvl>
                  <c:pt idx="2">
                    <c:v>Tx de aprendizado:</c:v>
                  </c:pt>
                  <c:pt idx="3">
                    <c:v>0,5</c:v>
                  </c:pt>
                </c:lvl>
              </c:multiLvlStrCache>
            </c:multiLvlStrRef>
          </c:cat>
          <c:val>
            <c:numRef>
              <c:f>Plan1!$M$7:$Q$7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</c:numCache>
            </c:numRef>
          </c:val>
        </c:ser>
        <c:ser>
          <c:idx val="4"/>
          <c:order val="4"/>
          <c:tx>
            <c:strRef>
              <c:f>Plan1!$A$8:$L$8</c:f>
              <c:strCache>
                <c:ptCount val="1"/>
                <c:pt idx="0">
                  <c:v>x2 0 w2 1 1 1 1 Encerrou</c:v>
                </c:pt>
              </c:strCache>
            </c:strRef>
          </c:tx>
          <c:invertIfNegative val="0"/>
          <c:cat>
            <c:multiLvlStrRef>
              <c:f>Plan1!$M$1:$Q$3</c:f>
              <c:multiLvlStrCache>
                <c:ptCount val="5"/>
                <c:lvl>
                  <c:pt idx="0">
                    <c:v>Erro</c:v>
                  </c:pt>
                  <c:pt idx="1">
                    <c:v>Delta W1</c:v>
                  </c:pt>
                  <c:pt idx="2">
                    <c:v>Delta W2</c:v>
                  </c:pt>
                  <c:pt idx="3">
                    <c:v>Delta Bias</c:v>
                  </c:pt>
                  <c:pt idx="4">
                    <c:v>Tx.Ap</c:v>
                  </c:pt>
                </c:lvl>
                <c:lvl>
                  <c:pt idx="2">
                    <c:v>Tx de aprendizado:</c:v>
                  </c:pt>
                  <c:pt idx="3">
                    <c:v>0,5</c:v>
                  </c:pt>
                </c:lvl>
              </c:multiLvlStrCache>
            </c:multiLvlStrRef>
          </c:cat>
          <c:val>
            <c:numRef>
              <c:f>Plan1!$M$8:$Q$8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935872"/>
        <c:axId val="41631744"/>
      </c:barChart>
      <c:catAx>
        <c:axId val="169935872"/>
        <c:scaling>
          <c:orientation val="minMax"/>
        </c:scaling>
        <c:delete val="0"/>
        <c:axPos val="b"/>
        <c:majorTickMark val="out"/>
        <c:minorTickMark val="none"/>
        <c:tickLblPos val="nextTo"/>
        <c:crossAx val="41631744"/>
        <c:crosses val="autoZero"/>
        <c:auto val="1"/>
        <c:lblAlgn val="ctr"/>
        <c:lblOffset val="100"/>
        <c:noMultiLvlLbl val="0"/>
      </c:catAx>
      <c:valAx>
        <c:axId val="4163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935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Plan1!$A$4:$L$4</c:f>
              <c:strCache>
                <c:ptCount val="1"/>
                <c:pt idx="0">
                  <c:v>x1 1 0,5 b(n) Saída sgn(v) 0 0 0 0 OK</c:v>
                </c:pt>
              </c:strCache>
            </c:strRef>
          </c:tx>
          <c:invertIfNegative val="0"/>
          <c:cat>
            <c:multiLvlStrRef>
              <c:f>Plan1!$M$1:$Q$3</c:f>
              <c:multiLvlStrCache>
                <c:ptCount val="5"/>
                <c:lvl>
                  <c:pt idx="0">
                    <c:v>Erro</c:v>
                  </c:pt>
                  <c:pt idx="1">
                    <c:v>Delta W1</c:v>
                  </c:pt>
                  <c:pt idx="2">
                    <c:v>Delta W2</c:v>
                  </c:pt>
                  <c:pt idx="3">
                    <c:v>Delta Bias</c:v>
                  </c:pt>
                  <c:pt idx="4">
                    <c:v>Tx.Ap</c:v>
                  </c:pt>
                </c:lvl>
                <c:lvl>
                  <c:pt idx="2">
                    <c:v>Tx de aprendizado:</c:v>
                  </c:pt>
                  <c:pt idx="3">
                    <c:v>0,5</c:v>
                  </c:pt>
                </c:lvl>
              </c:multiLvlStrCache>
            </c:multiLvlStrRef>
          </c:cat>
          <c:val>
            <c:numRef>
              <c:f>Plan1!$M$4:$Q$4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</c:numCache>
            </c:numRef>
          </c:val>
        </c:ser>
        <c:ser>
          <c:idx val="1"/>
          <c:order val="1"/>
          <c:tx>
            <c:strRef>
              <c:f>Plan1!$A$5:$L$5</c:f>
              <c:strCache>
                <c:ptCount val="1"/>
                <c:pt idx="0">
                  <c:v>x1 1 0,5 -0,5 0 0 0 1 0 0 OK</c:v>
                </c:pt>
              </c:strCache>
            </c:strRef>
          </c:tx>
          <c:invertIfNegative val="0"/>
          <c:cat>
            <c:multiLvlStrRef>
              <c:f>Plan1!$M$1:$Q$3</c:f>
              <c:multiLvlStrCache>
                <c:ptCount val="5"/>
                <c:lvl>
                  <c:pt idx="0">
                    <c:v>Erro</c:v>
                  </c:pt>
                  <c:pt idx="1">
                    <c:v>Delta W1</c:v>
                  </c:pt>
                  <c:pt idx="2">
                    <c:v>Delta W2</c:v>
                  </c:pt>
                  <c:pt idx="3">
                    <c:v>Delta Bias</c:v>
                  </c:pt>
                  <c:pt idx="4">
                    <c:v>Tx.Ap</c:v>
                  </c:pt>
                </c:lvl>
                <c:lvl>
                  <c:pt idx="2">
                    <c:v>Tx de aprendizado:</c:v>
                  </c:pt>
                  <c:pt idx="3">
                    <c:v>0,5</c:v>
                  </c:pt>
                </c:lvl>
              </c:multiLvlStrCache>
            </c:multiLvlStrRef>
          </c:cat>
          <c:val>
            <c:numRef>
              <c:f>Plan1!$M$5:$Q$5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</c:numCache>
            </c:numRef>
          </c:val>
        </c:ser>
        <c:ser>
          <c:idx val="2"/>
          <c:order val="2"/>
          <c:tx>
            <c:strRef>
              <c:f>Plan1!$A$6:$L$6</c:f>
              <c:strCache>
                <c:ptCount val="1"/>
                <c:pt idx="0">
                  <c:v>x1 1 0,5 w0 0 0 1 0 0 0 OK</c:v>
                </c:pt>
              </c:strCache>
            </c:strRef>
          </c:tx>
          <c:invertIfNegative val="0"/>
          <c:cat>
            <c:multiLvlStrRef>
              <c:f>Plan1!$M$1:$Q$3</c:f>
              <c:multiLvlStrCache>
                <c:ptCount val="5"/>
                <c:lvl>
                  <c:pt idx="0">
                    <c:v>Erro</c:v>
                  </c:pt>
                  <c:pt idx="1">
                    <c:v>Delta W1</c:v>
                  </c:pt>
                  <c:pt idx="2">
                    <c:v>Delta W2</c:v>
                  </c:pt>
                  <c:pt idx="3">
                    <c:v>Delta Bias</c:v>
                  </c:pt>
                  <c:pt idx="4">
                    <c:v>Tx.Ap</c:v>
                  </c:pt>
                </c:lvl>
                <c:lvl>
                  <c:pt idx="2">
                    <c:v>Tx de aprendizado:</c:v>
                  </c:pt>
                  <c:pt idx="3">
                    <c:v>0,5</c:v>
                  </c:pt>
                </c:lvl>
              </c:multiLvlStrCache>
            </c:multiLvlStrRef>
          </c:cat>
          <c:val>
            <c:numRef>
              <c:f>Plan1!$M$6:$Q$6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</c:numCache>
            </c:numRef>
          </c:val>
        </c:ser>
        <c:ser>
          <c:idx val="3"/>
          <c:order val="3"/>
          <c:tx>
            <c:strRef>
              <c:f>Plan1!$A$7:$L$7</c:f>
              <c:strCache>
                <c:ptCount val="1"/>
                <c:pt idx="0">
                  <c:v>x2 0 w2 1 1 1 1 OK</c:v>
                </c:pt>
              </c:strCache>
            </c:strRef>
          </c:tx>
          <c:invertIfNegative val="0"/>
          <c:cat>
            <c:multiLvlStrRef>
              <c:f>Plan1!$M$1:$Q$3</c:f>
              <c:multiLvlStrCache>
                <c:ptCount val="5"/>
                <c:lvl>
                  <c:pt idx="0">
                    <c:v>Erro</c:v>
                  </c:pt>
                  <c:pt idx="1">
                    <c:v>Delta W1</c:v>
                  </c:pt>
                  <c:pt idx="2">
                    <c:v>Delta W2</c:v>
                  </c:pt>
                  <c:pt idx="3">
                    <c:v>Delta Bias</c:v>
                  </c:pt>
                  <c:pt idx="4">
                    <c:v>Tx.Ap</c:v>
                  </c:pt>
                </c:lvl>
                <c:lvl>
                  <c:pt idx="2">
                    <c:v>Tx de aprendizado:</c:v>
                  </c:pt>
                  <c:pt idx="3">
                    <c:v>0,5</c:v>
                  </c:pt>
                </c:lvl>
              </c:multiLvlStrCache>
            </c:multiLvlStrRef>
          </c:cat>
          <c:val>
            <c:numRef>
              <c:f>Plan1!$M$7:$Q$7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</c:numCache>
            </c:numRef>
          </c:val>
        </c:ser>
        <c:ser>
          <c:idx val="4"/>
          <c:order val="4"/>
          <c:tx>
            <c:strRef>
              <c:f>Plan1!$A$8:$L$8</c:f>
              <c:strCache>
                <c:ptCount val="1"/>
                <c:pt idx="0">
                  <c:v>x2 0 w2 1 1 1 1 Encerrou</c:v>
                </c:pt>
              </c:strCache>
            </c:strRef>
          </c:tx>
          <c:invertIfNegative val="0"/>
          <c:cat>
            <c:multiLvlStrRef>
              <c:f>Plan1!$M$1:$Q$3</c:f>
              <c:multiLvlStrCache>
                <c:ptCount val="5"/>
                <c:lvl>
                  <c:pt idx="0">
                    <c:v>Erro</c:v>
                  </c:pt>
                  <c:pt idx="1">
                    <c:v>Delta W1</c:v>
                  </c:pt>
                  <c:pt idx="2">
                    <c:v>Delta W2</c:v>
                  </c:pt>
                  <c:pt idx="3">
                    <c:v>Delta Bias</c:v>
                  </c:pt>
                  <c:pt idx="4">
                    <c:v>Tx.Ap</c:v>
                  </c:pt>
                </c:lvl>
                <c:lvl>
                  <c:pt idx="2">
                    <c:v>Tx de aprendizado:</c:v>
                  </c:pt>
                  <c:pt idx="3">
                    <c:v>0,5</c:v>
                  </c:pt>
                </c:lvl>
              </c:multiLvlStrCache>
            </c:multiLvlStrRef>
          </c:cat>
          <c:val>
            <c:numRef>
              <c:f>Plan1!$M$8:$Q$8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983360"/>
        <c:axId val="203088448"/>
      </c:barChart>
      <c:catAx>
        <c:axId val="43983360"/>
        <c:scaling>
          <c:orientation val="minMax"/>
        </c:scaling>
        <c:delete val="0"/>
        <c:axPos val="b"/>
        <c:majorTickMark val="out"/>
        <c:minorTickMark val="none"/>
        <c:tickLblPos val="nextTo"/>
        <c:crossAx val="203088448"/>
        <c:crosses val="autoZero"/>
        <c:auto val="1"/>
        <c:lblAlgn val="ctr"/>
        <c:lblOffset val="100"/>
        <c:noMultiLvlLbl val="0"/>
      </c:catAx>
      <c:valAx>
        <c:axId val="20308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9833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358567087291991E-2"/>
          <c:y val="4.8376992091674814E-2"/>
          <c:w val="0.90819184465951963"/>
          <c:h val="0.90324601581665032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Plan1!$AB$2:$AB$12</c:f>
              <c:numCache>
                <c:formatCode>General</c:formatCode>
                <c:ptCount val="11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</c:numCache>
            </c:numRef>
          </c:xVal>
          <c:yVal>
            <c:numRef>
              <c:f>Plan1!$AC$2:$AC$12</c:f>
              <c:numCache>
                <c:formatCode>0.00</c:formatCode>
                <c:ptCount val="11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-1</c:v>
                </c:pt>
                <c:pt idx="8">
                  <c:v>-2</c:v>
                </c:pt>
                <c:pt idx="9">
                  <c:v>-3</c:v>
                </c:pt>
                <c:pt idx="10">
                  <c:v>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55328"/>
        <c:axId val="166155904"/>
      </c:scatterChart>
      <c:valAx>
        <c:axId val="166155328"/>
        <c:scaling>
          <c:orientation val="minMax"/>
          <c:max val="3"/>
          <c:min val="-3"/>
        </c:scaling>
        <c:delete val="0"/>
        <c:axPos val="b"/>
        <c:numFmt formatCode="General" sourceLinked="1"/>
        <c:majorTickMark val="out"/>
        <c:minorTickMark val="none"/>
        <c:tickLblPos val="nextTo"/>
        <c:crossAx val="166155904"/>
        <c:crosses val="autoZero"/>
        <c:crossBetween val="midCat"/>
      </c:valAx>
      <c:valAx>
        <c:axId val="166155904"/>
        <c:scaling>
          <c:orientation val="minMax"/>
          <c:max val="3"/>
          <c:min val="-3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6615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358468828901657E-2"/>
          <c:y val="2.7100351817724914E-2"/>
          <c:w val="0.92253911589602233"/>
          <c:h val="0.90324601581665032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Plan1!$AB$15:$AB$25</c:f>
              <c:numCache>
                <c:formatCode>General</c:formatCode>
                <c:ptCount val="11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</c:numCache>
            </c:numRef>
          </c:xVal>
          <c:yVal>
            <c:numRef>
              <c:f>Plan1!$AC$15:$AC$25</c:f>
              <c:numCache>
                <c:formatCode>0.00</c:formatCode>
                <c:ptCount val="11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-2</c:v>
                </c:pt>
                <c:pt idx="8">
                  <c:v>-3</c:v>
                </c:pt>
                <c:pt idx="9">
                  <c:v>-4</c:v>
                </c:pt>
                <c:pt idx="10">
                  <c:v>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85472"/>
        <c:axId val="193186048"/>
      </c:scatterChart>
      <c:valAx>
        <c:axId val="193185472"/>
        <c:scaling>
          <c:orientation val="minMax"/>
          <c:max val="3"/>
          <c:min val="-3"/>
        </c:scaling>
        <c:delete val="0"/>
        <c:axPos val="b"/>
        <c:numFmt formatCode="General" sourceLinked="1"/>
        <c:majorTickMark val="out"/>
        <c:minorTickMark val="none"/>
        <c:tickLblPos val="nextTo"/>
        <c:crossAx val="193186048"/>
        <c:crosses val="autoZero"/>
        <c:crossBetween val="midCat"/>
      </c:valAx>
      <c:valAx>
        <c:axId val="193186048"/>
        <c:scaling>
          <c:orientation val="minMax"/>
          <c:max val="3"/>
          <c:min val="-3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318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358567087291991E-2"/>
          <c:y val="4.8376992091674814E-2"/>
          <c:w val="0.92253911589602233"/>
          <c:h val="0.90324601581665032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Plan1!$AB$35:$AB$45</c:f>
              <c:numCache>
                <c:formatCode>General</c:formatCode>
                <c:ptCount val="11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</c:numCache>
            </c:numRef>
          </c:xVal>
          <c:yVal>
            <c:numRef>
              <c:f>Plan1!$AC$35:$AC$45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87776"/>
        <c:axId val="193188352"/>
      </c:scatterChart>
      <c:valAx>
        <c:axId val="193187776"/>
        <c:scaling>
          <c:orientation val="minMax"/>
          <c:max val="3"/>
          <c:min val="-3"/>
        </c:scaling>
        <c:delete val="0"/>
        <c:axPos val="b"/>
        <c:numFmt formatCode="General" sourceLinked="1"/>
        <c:majorTickMark val="out"/>
        <c:minorTickMark val="none"/>
        <c:tickLblPos val="nextTo"/>
        <c:crossAx val="193188352"/>
        <c:crosses val="autoZero"/>
        <c:crossBetween val="midCat"/>
      </c:valAx>
      <c:valAx>
        <c:axId val="193188352"/>
        <c:scaling>
          <c:orientation val="minMax"/>
          <c:max val="3"/>
          <c:min val="-3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3187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358567087291991E-2"/>
          <c:y val="4.8376992091674814E-2"/>
          <c:w val="0.90819184465951963"/>
          <c:h val="0.90324601581665032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Plan1!$AB$52:$AB$62</c:f>
              <c:numCache>
                <c:formatCode>General</c:formatCode>
                <c:ptCount val="11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</c:numCache>
            </c:numRef>
          </c:xVal>
          <c:yVal>
            <c:numRef>
              <c:f>Plan1!$AC$52:$AC$62</c:f>
              <c:numCache>
                <c:formatCode>0.00</c:formatCode>
                <c:ptCount val="11"/>
                <c:pt idx="0">
                  <c:v>13</c:v>
                </c:pt>
                <c:pt idx="1">
                  <c:v>11</c:v>
                </c:pt>
                <c:pt idx="2">
                  <c:v>9</c:v>
                </c:pt>
                <c:pt idx="3">
                  <c:v>7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-1</c:v>
                </c:pt>
                <c:pt idx="8">
                  <c:v>-3</c:v>
                </c:pt>
                <c:pt idx="9">
                  <c:v>-5</c:v>
                </c:pt>
                <c:pt idx="10">
                  <c:v>-7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90080"/>
        <c:axId val="193190656"/>
      </c:scatterChart>
      <c:valAx>
        <c:axId val="193190080"/>
        <c:scaling>
          <c:orientation val="minMax"/>
          <c:max val="3"/>
          <c:min val="-3"/>
        </c:scaling>
        <c:delete val="0"/>
        <c:axPos val="b"/>
        <c:numFmt formatCode="General" sourceLinked="1"/>
        <c:majorTickMark val="out"/>
        <c:minorTickMark val="none"/>
        <c:tickLblPos val="nextTo"/>
        <c:crossAx val="193190656"/>
        <c:crosses val="autoZero"/>
        <c:crossBetween val="midCat"/>
      </c:valAx>
      <c:valAx>
        <c:axId val="193190656"/>
        <c:scaling>
          <c:orientation val="minMax"/>
          <c:max val="3"/>
          <c:min val="-3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319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131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2"/>
  <sheetViews>
    <sheetView zoomScale="131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1336" cy="600584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1336" cy="600584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19050</xdr:rowOff>
        </xdr:from>
        <xdr:to>
          <xdr:col>2</xdr:col>
          <xdr:colOff>523875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0</xdr:rowOff>
        </xdr:from>
        <xdr:to>
          <xdr:col>2</xdr:col>
          <xdr:colOff>533400</xdr:colOff>
          <xdr:row>21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9525</xdr:rowOff>
        </xdr:from>
        <xdr:to>
          <xdr:col>5</xdr:col>
          <xdr:colOff>314325</xdr:colOff>
          <xdr:row>10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 1 ciclo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20</xdr:row>
          <xdr:rowOff>9525</xdr:rowOff>
        </xdr:from>
        <xdr:to>
          <xdr:col>5</xdr:col>
          <xdr:colOff>295275</xdr:colOff>
          <xdr:row>21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 1 ciclo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366185</xdr:colOff>
      <xdr:row>0</xdr:row>
      <xdr:rowOff>80436</xdr:rowOff>
    </xdr:from>
    <xdr:to>
      <xdr:col>23</xdr:col>
      <xdr:colOff>381001</xdr:colOff>
      <xdr:row>12</xdr:row>
      <xdr:rowOff>137585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370418</xdr:colOff>
      <xdr:row>13</xdr:row>
      <xdr:rowOff>48684</xdr:rowOff>
    </xdr:from>
    <xdr:to>
      <xdr:col>23</xdr:col>
      <xdr:colOff>391583</xdr:colOff>
      <xdr:row>28</xdr:row>
      <xdr:rowOff>42334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40</xdr:row>
          <xdr:rowOff>0</xdr:rowOff>
        </xdr:from>
        <xdr:to>
          <xdr:col>2</xdr:col>
          <xdr:colOff>533400</xdr:colOff>
          <xdr:row>41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40</xdr:row>
          <xdr:rowOff>9525</xdr:rowOff>
        </xdr:from>
        <xdr:to>
          <xdr:col>5</xdr:col>
          <xdr:colOff>295275</xdr:colOff>
          <xdr:row>41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 1 ciclo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0</xdr:colOff>
      <xdr:row>32</xdr:row>
      <xdr:rowOff>63499</xdr:rowOff>
    </xdr:from>
    <xdr:to>
      <xdr:col>23</xdr:col>
      <xdr:colOff>370417</xdr:colOff>
      <xdr:row>47</xdr:row>
      <xdr:rowOff>31749</xdr:rowOff>
    </xdr:to>
    <xdr:graphicFrame macro="">
      <xdr:nvGraphicFramePr>
        <xdr:cNvPr id="18" name="Gráfico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58</xdr:row>
          <xdr:rowOff>19050</xdr:rowOff>
        </xdr:from>
        <xdr:to>
          <xdr:col>2</xdr:col>
          <xdr:colOff>523875</xdr:colOff>
          <xdr:row>59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58</xdr:row>
          <xdr:rowOff>9525</xdr:rowOff>
        </xdr:from>
        <xdr:to>
          <xdr:col>5</xdr:col>
          <xdr:colOff>314325</xdr:colOff>
          <xdr:row>59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 1 ciclo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0</xdr:colOff>
      <xdr:row>50</xdr:row>
      <xdr:rowOff>0</xdr:rowOff>
    </xdr:from>
    <xdr:to>
      <xdr:col>23</xdr:col>
      <xdr:colOff>349250</xdr:colOff>
      <xdr:row>63</xdr:row>
      <xdr:rowOff>105834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0.63287</cdr:x>
      <cdr:y>0.3268</cdr:y>
    </cdr:from>
    <cdr:to>
      <cdr:x>0.66278</cdr:x>
      <cdr:y>0.36299</cdr:y>
    </cdr:to>
    <cdr:sp macro="" textlink="">
      <cdr:nvSpPr>
        <cdr:cNvPr id="7" name="Fluxograma: Conector 6"/>
        <cdr:cNvSpPr/>
      </cdr:nvSpPr>
      <cdr:spPr>
        <a:xfrm xmlns:a="http://schemas.openxmlformats.org/drawingml/2006/main">
          <a:off x="2285314" y="975335"/>
          <a:ext cx="108000" cy="108000"/>
        </a:xfrm>
        <a:prstGeom xmlns:a="http://schemas.openxmlformats.org/drawingml/2006/main" prst="flowChartConnector">
          <a:avLst/>
        </a:prstGeom>
        <a:solidFill xmlns:a="http://schemas.openxmlformats.org/drawingml/2006/main">
          <a:srgbClr val="00B05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0.47902</cdr:x>
      <cdr:y>0.32898</cdr:y>
    </cdr:from>
    <cdr:to>
      <cdr:x>0.50893</cdr:x>
      <cdr:y>0.36517</cdr:y>
    </cdr:to>
    <cdr:sp macro="" textlink="">
      <cdr:nvSpPr>
        <cdr:cNvPr id="8" name="Fluxograma: Conector 7"/>
        <cdr:cNvSpPr/>
      </cdr:nvSpPr>
      <cdr:spPr>
        <a:xfrm xmlns:a="http://schemas.openxmlformats.org/drawingml/2006/main">
          <a:off x="1729757" y="981841"/>
          <a:ext cx="108000" cy="108000"/>
        </a:xfrm>
        <a:prstGeom xmlns:a="http://schemas.openxmlformats.org/drawingml/2006/main" prst="flowChartConnector">
          <a:avLst/>
        </a:prstGeom>
        <a:solidFill xmlns:a="http://schemas.openxmlformats.org/drawingml/2006/main">
          <a:srgbClr val="FF000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0.62937</cdr:x>
      <cdr:y>0.47712</cdr:y>
    </cdr:from>
    <cdr:to>
      <cdr:x>0.65928</cdr:x>
      <cdr:y>0.51331</cdr:y>
    </cdr:to>
    <cdr:sp macro="" textlink="">
      <cdr:nvSpPr>
        <cdr:cNvPr id="9" name="Fluxograma: Conector 8"/>
        <cdr:cNvSpPr/>
      </cdr:nvSpPr>
      <cdr:spPr>
        <a:xfrm xmlns:a="http://schemas.openxmlformats.org/drawingml/2006/main">
          <a:off x="2272675" y="1423965"/>
          <a:ext cx="108000" cy="108000"/>
        </a:xfrm>
        <a:prstGeom xmlns:a="http://schemas.openxmlformats.org/drawingml/2006/main" prst="flowChartConnector">
          <a:avLst/>
        </a:prstGeom>
        <a:solidFill xmlns:a="http://schemas.openxmlformats.org/drawingml/2006/main">
          <a:srgbClr val="FF000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0.48077</cdr:x>
      <cdr:y>0.48148</cdr:y>
    </cdr:from>
    <cdr:to>
      <cdr:x>0.51068</cdr:x>
      <cdr:y>0.51767</cdr:y>
    </cdr:to>
    <cdr:sp macro="" textlink="">
      <cdr:nvSpPr>
        <cdr:cNvPr id="10" name="Fluxograma: Conector 9"/>
        <cdr:cNvSpPr/>
      </cdr:nvSpPr>
      <cdr:spPr>
        <a:xfrm xmlns:a="http://schemas.openxmlformats.org/drawingml/2006/main">
          <a:off x="1736076" y="1436977"/>
          <a:ext cx="108000" cy="108000"/>
        </a:xfrm>
        <a:prstGeom xmlns:a="http://schemas.openxmlformats.org/drawingml/2006/main" prst="flowChartConnector">
          <a:avLst/>
        </a:prstGeom>
        <a:solidFill xmlns:a="http://schemas.openxmlformats.org/drawingml/2006/main">
          <a:srgbClr val="FF000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>
            <a:solidFill>
              <a:srgbClr val="FF0000"/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0.63879</cdr:x>
      <cdr:y>0.4793</cdr:y>
    </cdr:from>
    <cdr:to>
      <cdr:x>0.66923</cdr:x>
      <cdr:y>0.51549</cdr:y>
    </cdr:to>
    <cdr:sp macro="" textlink="">
      <cdr:nvSpPr>
        <cdr:cNvPr id="6" name="Fluxograma: Conector 5"/>
        <cdr:cNvSpPr/>
      </cdr:nvSpPr>
      <cdr:spPr>
        <a:xfrm xmlns:a="http://schemas.openxmlformats.org/drawingml/2006/main">
          <a:off x="2266129" y="1430471"/>
          <a:ext cx="108000" cy="108000"/>
        </a:xfrm>
        <a:prstGeom xmlns:a="http://schemas.openxmlformats.org/drawingml/2006/main" prst="flowChartConnector">
          <a:avLst/>
        </a:prstGeom>
        <a:solidFill xmlns:a="http://schemas.openxmlformats.org/drawingml/2006/main">
          <a:srgbClr val="00B05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0.48399</cdr:x>
      <cdr:y>0.33115</cdr:y>
    </cdr:from>
    <cdr:to>
      <cdr:x>0.51443</cdr:x>
      <cdr:y>0.36734</cdr:y>
    </cdr:to>
    <cdr:sp macro="" textlink="">
      <cdr:nvSpPr>
        <cdr:cNvPr id="7" name="Fluxograma: Conector 6"/>
        <cdr:cNvSpPr/>
      </cdr:nvSpPr>
      <cdr:spPr>
        <a:xfrm xmlns:a="http://schemas.openxmlformats.org/drawingml/2006/main">
          <a:off x="1716970" y="988317"/>
          <a:ext cx="108000" cy="108000"/>
        </a:xfrm>
        <a:prstGeom xmlns:a="http://schemas.openxmlformats.org/drawingml/2006/main" prst="flowChartConnector">
          <a:avLst/>
        </a:prstGeom>
        <a:solidFill xmlns:a="http://schemas.openxmlformats.org/drawingml/2006/main">
          <a:srgbClr val="00B05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0.63167</cdr:x>
      <cdr:y>0.3268</cdr:y>
    </cdr:from>
    <cdr:to>
      <cdr:x>0.66211</cdr:x>
      <cdr:y>0.36299</cdr:y>
    </cdr:to>
    <cdr:sp macro="" textlink="">
      <cdr:nvSpPr>
        <cdr:cNvPr id="8" name="Fluxograma: Conector 7"/>
        <cdr:cNvSpPr/>
      </cdr:nvSpPr>
      <cdr:spPr>
        <a:xfrm xmlns:a="http://schemas.openxmlformats.org/drawingml/2006/main">
          <a:off x="2240870" y="975335"/>
          <a:ext cx="108000" cy="108000"/>
        </a:xfrm>
        <a:prstGeom xmlns:a="http://schemas.openxmlformats.org/drawingml/2006/main" prst="flowChartConnector">
          <a:avLst/>
        </a:prstGeom>
        <a:solidFill xmlns:a="http://schemas.openxmlformats.org/drawingml/2006/main">
          <a:srgbClr val="00B05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0.49116</cdr:x>
      <cdr:y>0.48695</cdr:y>
    </cdr:from>
    <cdr:to>
      <cdr:x>0.5216</cdr:x>
      <cdr:y>0.52314</cdr:y>
    </cdr:to>
    <cdr:sp macro="" textlink="">
      <cdr:nvSpPr>
        <cdr:cNvPr id="9" name="Fluxograma: Conector 8"/>
        <cdr:cNvSpPr/>
      </cdr:nvSpPr>
      <cdr:spPr>
        <a:xfrm xmlns:a="http://schemas.openxmlformats.org/drawingml/2006/main">
          <a:off x="1742406" y="1453315"/>
          <a:ext cx="108000" cy="108000"/>
        </a:xfrm>
        <a:prstGeom xmlns:a="http://schemas.openxmlformats.org/drawingml/2006/main" prst="flowChartConnector">
          <a:avLst/>
        </a:prstGeom>
        <a:solidFill xmlns:a="http://schemas.openxmlformats.org/drawingml/2006/main">
          <a:srgbClr val="FF000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>
            <a:solidFill>
              <a:srgbClr val="FF0000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0.63701</cdr:x>
      <cdr:y>0.48148</cdr:y>
    </cdr:from>
    <cdr:to>
      <cdr:x>0.66745</cdr:x>
      <cdr:y>0.51739</cdr:y>
    </cdr:to>
    <cdr:sp macro="" textlink="">
      <cdr:nvSpPr>
        <cdr:cNvPr id="6" name="Fluxograma: Conector 5"/>
        <cdr:cNvSpPr/>
      </cdr:nvSpPr>
      <cdr:spPr>
        <a:xfrm xmlns:a="http://schemas.openxmlformats.org/drawingml/2006/main">
          <a:off x="2259814" y="1448187"/>
          <a:ext cx="108000" cy="108000"/>
        </a:xfrm>
        <a:prstGeom xmlns:a="http://schemas.openxmlformats.org/drawingml/2006/main" prst="flowChartConnector">
          <a:avLst/>
        </a:prstGeom>
        <a:solidFill xmlns:a="http://schemas.openxmlformats.org/drawingml/2006/main">
          <a:srgbClr val="00B05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0.4911</cdr:x>
      <cdr:y>0.33334</cdr:y>
    </cdr:from>
    <cdr:to>
      <cdr:x>0.52154</cdr:x>
      <cdr:y>0.36925</cdr:y>
    </cdr:to>
    <cdr:sp macro="" textlink="">
      <cdr:nvSpPr>
        <cdr:cNvPr id="8" name="Fluxograma: Conector 7"/>
        <cdr:cNvSpPr/>
      </cdr:nvSpPr>
      <cdr:spPr>
        <a:xfrm xmlns:a="http://schemas.openxmlformats.org/drawingml/2006/main">
          <a:off x="1742193" y="1002614"/>
          <a:ext cx="108000" cy="108000"/>
        </a:xfrm>
        <a:prstGeom xmlns:a="http://schemas.openxmlformats.org/drawingml/2006/main" prst="flowChartConnector">
          <a:avLst/>
        </a:prstGeom>
        <a:solidFill xmlns:a="http://schemas.openxmlformats.org/drawingml/2006/main">
          <a:srgbClr val="00B05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0.48221</cdr:x>
      <cdr:y>0.47713</cdr:y>
    </cdr:from>
    <cdr:to>
      <cdr:x>0.51265</cdr:x>
      <cdr:y>0.51304</cdr:y>
    </cdr:to>
    <cdr:sp macro="" textlink="">
      <cdr:nvSpPr>
        <cdr:cNvPr id="9" name="Fluxograma: Conector 8"/>
        <cdr:cNvSpPr/>
      </cdr:nvSpPr>
      <cdr:spPr>
        <a:xfrm xmlns:a="http://schemas.openxmlformats.org/drawingml/2006/main">
          <a:off x="1710656" y="1435104"/>
          <a:ext cx="108000" cy="108000"/>
        </a:xfrm>
        <a:prstGeom xmlns:a="http://schemas.openxmlformats.org/drawingml/2006/main" prst="flowChartConnector">
          <a:avLst/>
        </a:prstGeom>
        <a:solidFill xmlns:a="http://schemas.openxmlformats.org/drawingml/2006/main">
          <a:srgbClr val="FF000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0.64057</cdr:x>
      <cdr:y>0.33115</cdr:y>
    </cdr:from>
    <cdr:to>
      <cdr:x>0.67101</cdr:x>
      <cdr:y>0.36706</cdr:y>
    </cdr:to>
    <cdr:sp macro="" textlink="">
      <cdr:nvSpPr>
        <cdr:cNvPr id="10" name="Fluxograma: Conector 9"/>
        <cdr:cNvSpPr/>
      </cdr:nvSpPr>
      <cdr:spPr>
        <a:xfrm xmlns:a="http://schemas.openxmlformats.org/drawingml/2006/main">
          <a:off x="2272443" y="996027"/>
          <a:ext cx="108000" cy="108000"/>
        </a:xfrm>
        <a:prstGeom xmlns:a="http://schemas.openxmlformats.org/drawingml/2006/main" prst="flowChartConnector">
          <a:avLst/>
        </a:prstGeom>
        <a:solidFill xmlns:a="http://schemas.openxmlformats.org/drawingml/2006/main">
          <a:srgbClr val="FF000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>
            <a:solidFill>
              <a:srgbClr val="FF0000"/>
            </a:solidFill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0.63287</cdr:x>
      <cdr:y>0.3268</cdr:y>
    </cdr:from>
    <cdr:to>
      <cdr:x>0.66278</cdr:x>
      <cdr:y>0.36312</cdr:y>
    </cdr:to>
    <cdr:sp macro="" textlink="">
      <cdr:nvSpPr>
        <cdr:cNvPr id="7" name="Fluxograma: Conector 6"/>
        <cdr:cNvSpPr/>
      </cdr:nvSpPr>
      <cdr:spPr>
        <a:xfrm xmlns:a="http://schemas.openxmlformats.org/drawingml/2006/main">
          <a:off x="2285314" y="971876"/>
          <a:ext cx="108000" cy="108000"/>
        </a:xfrm>
        <a:prstGeom xmlns:a="http://schemas.openxmlformats.org/drawingml/2006/main" prst="flowChartConnector">
          <a:avLst/>
        </a:prstGeom>
        <a:solidFill xmlns:a="http://schemas.openxmlformats.org/drawingml/2006/main">
          <a:srgbClr val="FF000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0.47902</cdr:x>
      <cdr:y>0.32898</cdr:y>
    </cdr:from>
    <cdr:to>
      <cdr:x>0.50893</cdr:x>
      <cdr:y>0.3653</cdr:y>
    </cdr:to>
    <cdr:sp macro="" textlink="">
      <cdr:nvSpPr>
        <cdr:cNvPr id="8" name="Fluxograma: Conector 7"/>
        <cdr:cNvSpPr/>
      </cdr:nvSpPr>
      <cdr:spPr>
        <a:xfrm xmlns:a="http://schemas.openxmlformats.org/drawingml/2006/main">
          <a:off x="1729757" y="978359"/>
          <a:ext cx="108000" cy="108000"/>
        </a:xfrm>
        <a:prstGeom xmlns:a="http://schemas.openxmlformats.org/drawingml/2006/main" prst="flowChartConnector">
          <a:avLst/>
        </a:prstGeom>
        <a:solidFill xmlns:a="http://schemas.openxmlformats.org/drawingml/2006/main">
          <a:srgbClr val="00B05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0.62937</cdr:x>
      <cdr:y>0.47712</cdr:y>
    </cdr:from>
    <cdr:to>
      <cdr:x>0.66259</cdr:x>
      <cdr:y>0.51851</cdr:y>
    </cdr:to>
    <cdr:sp macro="" textlink="">
      <cdr:nvSpPr>
        <cdr:cNvPr id="9" name="Fluxograma: Conector 8"/>
        <cdr:cNvSpPr/>
      </cdr:nvSpPr>
      <cdr:spPr>
        <a:xfrm xmlns:a="http://schemas.openxmlformats.org/drawingml/2006/main">
          <a:off x="2286000" y="1390650"/>
          <a:ext cx="120651" cy="120637"/>
        </a:xfrm>
        <a:prstGeom xmlns:a="http://schemas.openxmlformats.org/drawingml/2006/main" prst="flowChartConnector">
          <a:avLst/>
        </a:prstGeom>
        <a:solidFill xmlns:a="http://schemas.openxmlformats.org/drawingml/2006/main">
          <a:srgbClr val="00B05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0.48077</cdr:x>
      <cdr:y>0.48148</cdr:y>
    </cdr:from>
    <cdr:to>
      <cdr:x>0.51068</cdr:x>
      <cdr:y>0.5178</cdr:y>
    </cdr:to>
    <cdr:sp macro="" textlink="">
      <cdr:nvSpPr>
        <cdr:cNvPr id="10" name="Fluxograma: Conector 9"/>
        <cdr:cNvSpPr/>
      </cdr:nvSpPr>
      <cdr:spPr>
        <a:xfrm xmlns:a="http://schemas.openxmlformats.org/drawingml/2006/main">
          <a:off x="1736076" y="1431882"/>
          <a:ext cx="108000" cy="108000"/>
        </a:xfrm>
        <a:prstGeom xmlns:a="http://schemas.openxmlformats.org/drawingml/2006/main" prst="flowChartConnector">
          <a:avLst/>
        </a:prstGeom>
        <a:solidFill xmlns:a="http://schemas.openxmlformats.org/drawingml/2006/main">
          <a:srgbClr val="00B050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>
            <a:solidFill>
              <a:srgbClr val="FF0000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C62"/>
  <sheetViews>
    <sheetView showGridLines="0" tabSelected="1" zoomScale="90" zoomScaleNormal="90" workbookViewId="0">
      <selection activeCell="P4" sqref="P4"/>
    </sheetView>
  </sheetViews>
  <sheetFormatPr defaultRowHeight="15" x14ac:dyDescent="0.25"/>
  <cols>
    <col min="1" max="1" width="5.42578125" customWidth="1"/>
    <col min="2" max="2" width="5.85546875" customWidth="1"/>
    <col min="4" max="4" width="7.140625" customWidth="1"/>
    <col min="5" max="5" width="5.7109375" customWidth="1"/>
    <col min="6" max="6" width="11" customWidth="1"/>
    <col min="7" max="7" width="4.7109375" customWidth="1"/>
    <col min="8" max="9" width="4.28515625" customWidth="1"/>
    <col min="10" max="10" width="7.5703125" bestFit="1" customWidth="1"/>
    <col min="11" max="11" width="5.28515625" bestFit="1" customWidth="1"/>
    <col min="12" max="12" width="7.5703125" customWidth="1"/>
    <col min="13" max="13" width="4.28515625" customWidth="1"/>
    <col min="14" max="15" width="8.42578125" bestFit="1" customWidth="1"/>
    <col min="16" max="16" width="9" bestFit="1" customWidth="1"/>
    <col min="17" max="17" width="7.42578125" customWidth="1"/>
    <col min="18" max="18" width="5.7109375" customWidth="1"/>
    <col min="19" max="19" width="7.5703125" bestFit="1" customWidth="1"/>
    <col min="20" max="20" width="5.28515625" bestFit="1" customWidth="1"/>
    <col min="24" max="24" width="7.42578125" customWidth="1"/>
    <col min="25" max="27" width="1.7109375" customWidth="1"/>
    <col min="28" max="28" width="4.5703125" customWidth="1"/>
    <col min="29" max="29" width="8.28515625" style="13" customWidth="1"/>
    <col min="30" max="30" width="2.28515625" customWidth="1"/>
    <col min="31" max="31" width="5.42578125" customWidth="1"/>
    <col min="32" max="32" width="9.28515625" customWidth="1"/>
    <col min="33" max="33" width="2.140625" customWidth="1"/>
    <col min="34" max="34" width="5" customWidth="1"/>
    <col min="35" max="35" width="8.42578125" customWidth="1"/>
    <col min="36" max="36" width="2.140625" customWidth="1"/>
    <col min="37" max="37" width="5.140625" customWidth="1"/>
  </cols>
  <sheetData>
    <row r="1" spans="1:29" x14ac:dyDescent="0.25">
      <c r="A1" s="11" t="s">
        <v>21</v>
      </c>
      <c r="O1" s="14" t="s">
        <v>19</v>
      </c>
      <c r="P1" s="1">
        <v>0.5</v>
      </c>
      <c r="Q1" s="14"/>
      <c r="R1" s="2"/>
      <c r="AB1" s="16" t="s">
        <v>0</v>
      </c>
      <c r="AC1" s="16"/>
    </row>
    <row r="2" spans="1:29" ht="15.75" x14ac:dyDescent="0.25">
      <c r="A2" s="17" t="s">
        <v>0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AB2" s="2">
        <v>-5</v>
      </c>
      <c r="AC2" s="12">
        <f>(-$D$5-$C$4*AB2)/$C$6</f>
        <v>6</v>
      </c>
    </row>
    <row r="3" spans="1:29" x14ac:dyDescent="0.25">
      <c r="A3" s="9" t="s">
        <v>2</v>
      </c>
      <c r="B3" s="3">
        <v>1</v>
      </c>
      <c r="C3" s="9" t="s">
        <v>4</v>
      </c>
      <c r="D3" s="9" t="s">
        <v>6</v>
      </c>
      <c r="E3" s="9" t="s">
        <v>7</v>
      </c>
      <c r="F3" s="10" t="s">
        <v>14</v>
      </c>
      <c r="H3" s="2" t="s">
        <v>2</v>
      </c>
      <c r="I3" s="2" t="s">
        <v>3</v>
      </c>
      <c r="J3" t="s">
        <v>18</v>
      </c>
      <c r="K3" t="s">
        <v>15</v>
      </c>
      <c r="L3" t="s">
        <v>8</v>
      </c>
      <c r="M3" t="s">
        <v>9</v>
      </c>
      <c r="N3" t="s">
        <v>10</v>
      </c>
      <c r="O3" t="s">
        <v>11</v>
      </c>
      <c r="P3" t="s">
        <v>12</v>
      </c>
      <c r="Q3" t="s">
        <v>22</v>
      </c>
      <c r="AB3" s="2">
        <v>-4</v>
      </c>
      <c r="AC3" s="12">
        <f t="shared" ref="AC3:AC12" si="0">(-$D$5-$C$4*AB3)/$C$6</f>
        <v>5</v>
      </c>
    </row>
    <row r="4" spans="1:29" x14ac:dyDescent="0.25">
      <c r="A4" s="2"/>
      <c r="B4" s="2"/>
      <c r="C4" s="4">
        <v>0.5</v>
      </c>
      <c r="D4" s="1" t="s">
        <v>17</v>
      </c>
      <c r="E4" s="1"/>
      <c r="F4" s="1" t="s">
        <v>16</v>
      </c>
      <c r="H4" s="2">
        <v>0</v>
      </c>
      <c r="I4" s="2">
        <v>0</v>
      </c>
      <c r="J4" s="2">
        <v>0</v>
      </c>
      <c r="K4" s="2">
        <f>IF((H4*$C$4+I4*$C$6+$D$5) &gt; 0, 1,0)</f>
        <v>0</v>
      </c>
      <c r="L4" s="2" t="str">
        <f xml:space="preserve"> IF($K$4=$J4,"OK","Erro")</f>
        <v>OK</v>
      </c>
      <c r="M4" s="2">
        <f>J4-K4</f>
        <v>0</v>
      </c>
      <c r="N4" s="2">
        <f>Q4*M4*$B$3</f>
        <v>0</v>
      </c>
      <c r="O4" s="2">
        <f>M4*Q4*$B$7</f>
        <v>0</v>
      </c>
      <c r="P4" s="2">
        <f>Q4*M4</f>
        <v>0</v>
      </c>
      <c r="Q4" s="2">
        <f>$P$1</f>
        <v>0.5</v>
      </c>
      <c r="AB4" s="2">
        <v>-3</v>
      </c>
      <c r="AC4" s="12">
        <f t="shared" si="0"/>
        <v>4</v>
      </c>
    </row>
    <row r="5" spans="1:29" x14ac:dyDescent="0.25">
      <c r="A5" s="2"/>
      <c r="B5" s="2"/>
      <c r="C5" s="4"/>
      <c r="D5" s="4">
        <v>-0.5</v>
      </c>
      <c r="E5" s="3">
        <f>B3*C4+B7*C6+D5</f>
        <v>0</v>
      </c>
      <c r="F5" s="5">
        <f>IF(E5&gt;0,1,0)</f>
        <v>0</v>
      </c>
      <c r="H5" s="2">
        <v>0</v>
      </c>
      <c r="I5" s="2">
        <v>1</v>
      </c>
      <c r="J5" s="2">
        <v>0</v>
      </c>
      <c r="K5" s="2">
        <f>IF((H5*$C$4+I5*$C$6+$D$5) &gt; 0, 1,0)</f>
        <v>0</v>
      </c>
      <c r="L5" s="2" t="str">
        <f xml:space="preserve"> IF($K$5=$J5,"OK","Erro")</f>
        <v>OK</v>
      </c>
      <c r="M5" s="2">
        <f>J5-K5</f>
        <v>0</v>
      </c>
      <c r="N5" s="2">
        <f t="shared" ref="N5:N6" si="1">Q5*M5*$B$3</f>
        <v>0</v>
      </c>
      <c r="O5" s="2">
        <f t="shared" ref="O5:O7" si="2">M5*Q5*$B$7</f>
        <v>0</v>
      </c>
      <c r="P5" s="2">
        <f t="shared" ref="P5:P7" si="3">Q5*M5</f>
        <v>0</v>
      </c>
      <c r="Q5" s="2">
        <f t="shared" ref="Q5:Q7" si="4">$P$1</f>
        <v>0.5</v>
      </c>
      <c r="AB5" s="2">
        <v>-2</v>
      </c>
      <c r="AC5" s="12">
        <f t="shared" si="0"/>
        <v>3</v>
      </c>
    </row>
    <row r="6" spans="1:29" x14ac:dyDescent="0.25">
      <c r="A6" s="2"/>
      <c r="C6" s="4">
        <v>0.5</v>
      </c>
      <c r="D6" s="9" t="s">
        <v>20</v>
      </c>
      <c r="E6" s="2"/>
      <c r="F6" s="2"/>
      <c r="H6" s="2">
        <v>1</v>
      </c>
      <c r="I6" s="2">
        <v>0</v>
      </c>
      <c r="J6" s="2">
        <v>0</v>
      </c>
      <c r="K6" s="2">
        <f>IF((H6*$C$4+I6*$C$6+$D$5) &gt; 0, 1,0)</f>
        <v>0</v>
      </c>
      <c r="L6" s="2" t="str">
        <f xml:space="preserve"> IF($K$6=$J6,"OK","Erro")</f>
        <v>OK</v>
      </c>
      <c r="M6" s="2">
        <f t="shared" ref="M6:M7" si="5">J6-K6</f>
        <v>0</v>
      </c>
      <c r="N6" s="2">
        <f t="shared" si="1"/>
        <v>0</v>
      </c>
      <c r="O6" s="2">
        <f t="shared" si="2"/>
        <v>0</v>
      </c>
      <c r="P6" s="2">
        <f t="shared" si="3"/>
        <v>0</v>
      </c>
      <c r="Q6" s="2">
        <f t="shared" si="4"/>
        <v>0.5</v>
      </c>
      <c r="AB6" s="2">
        <v>-1</v>
      </c>
      <c r="AC6" s="12">
        <f t="shared" si="0"/>
        <v>2</v>
      </c>
    </row>
    <row r="7" spans="1:29" x14ac:dyDescent="0.25">
      <c r="A7" s="9" t="s">
        <v>3</v>
      </c>
      <c r="B7" s="3">
        <v>0</v>
      </c>
      <c r="C7" s="9" t="s">
        <v>5</v>
      </c>
      <c r="D7" s="2"/>
      <c r="E7" s="2"/>
      <c r="F7" s="2"/>
      <c r="H7" s="2">
        <v>1</v>
      </c>
      <c r="I7" s="2">
        <v>1</v>
      </c>
      <c r="J7" s="2">
        <v>1</v>
      </c>
      <c r="K7" s="2">
        <f>IF((H7*$C$4+I7*$C$6+$D$5) &gt; 0, 1,0)</f>
        <v>1</v>
      </c>
      <c r="L7" s="2" t="str">
        <f xml:space="preserve"> IF($K$7=$J7,"OK","Erro")</f>
        <v>OK</v>
      </c>
      <c r="M7" s="2">
        <f t="shared" si="5"/>
        <v>0</v>
      </c>
      <c r="N7" s="2">
        <f>Q7*M7*$B$3</f>
        <v>0</v>
      </c>
      <c r="O7" s="2">
        <f t="shared" si="2"/>
        <v>0</v>
      </c>
      <c r="P7" s="2">
        <f t="shared" si="3"/>
        <v>0</v>
      </c>
      <c r="Q7" s="2">
        <f t="shared" si="4"/>
        <v>0.5</v>
      </c>
      <c r="AB7" s="2">
        <v>0</v>
      </c>
      <c r="AC7" s="12">
        <f>(-$D$5-$C$4*AB7)/$C$6</f>
        <v>1</v>
      </c>
    </row>
    <row r="8" spans="1:29" x14ac:dyDescent="0.25">
      <c r="L8" s="15" t="str">
        <f>IF(AND(L4="OK",L5="OK",L6="OK",L7="OK"),"Encerrou","Há erro")</f>
        <v>Encerrou</v>
      </c>
      <c r="AB8" s="2">
        <v>1</v>
      </c>
      <c r="AC8" s="12">
        <f t="shared" si="0"/>
        <v>0</v>
      </c>
    </row>
    <row r="9" spans="1:29" x14ac:dyDescent="0.25">
      <c r="AB9" s="2">
        <v>2</v>
      </c>
      <c r="AC9" s="12">
        <f>(-$D$5-$C$4*AB9)/$C$6</f>
        <v>-1</v>
      </c>
    </row>
    <row r="10" spans="1:29" x14ac:dyDescent="0.25">
      <c r="J10" s="15" t="s">
        <v>26</v>
      </c>
      <c r="K10">
        <v>3</v>
      </c>
      <c r="AB10" s="2">
        <v>3</v>
      </c>
      <c r="AC10" s="12">
        <f t="shared" si="0"/>
        <v>-2</v>
      </c>
    </row>
    <row r="11" spans="1:29" x14ac:dyDescent="0.25">
      <c r="AB11" s="2">
        <v>4</v>
      </c>
      <c r="AC11" s="12">
        <f t="shared" si="0"/>
        <v>-3</v>
      </c>
    </row>
    <row r="12" spans="1:29" x14ac:dyDescent="0.25">
      <c r="B12" s="7" t="s">
        <v>13</v>
      </c>
      <c r="AB12" s="2">
        <v>5</v>
      </c>
      <c r="AC12" s="12">
        <f t="shared" si="0"/>
        <v>-4</v>
      </c>
    </row>
    <row r="13" spans="1:29" ht="14.45" x14ac:dyDescent="0.35">
      <c r="B13" s="7"/>
    </row>
    <row r="14" spans="1:29" ht="15.75" x14ac:dyDescent="0.25">
      <c r="A14" s="17" t="s">
        <v>1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8"/>
      <c r="AB14" s="16" t="s">
        <v>1</v>
      </c>
      <c r="AC14" s="16"/>
    </row>
    <row r="15" spans="1:29" x14ac:dyDescent="0.25">
      <c r="A15" s="9" t="s">
        <v>2</v>
      </c>
      <c r="B15" s="3">
        <v>0</v>
      </c>
      <c r="C15" s="9" t="s">
        <v>4</v>
      </c>
      <c r="D15" s="9" t="s">
        <v>6</v>
      </c>
      <c r="E15" s="9" t="s">
        <v>7</v>
      </c>
      <c r="F15" s="10" t="s">
        <v>14</v>
      </c>
      <c r="H15" s="2" t="s">
        <v>2</v>
      </c>
      <c r="I15" s="2" t="s">
        <v>3</v>
      </c>
      <c r="J15" t="s">
        <v>18</v>
      </c>
      <c r="K15" t="s">
        <v>15</v>
      </c>
      <c r="L15" t="s">
        <v>8</v>
      </c>
      <c r="M15" t="s">
        <v>9</v>
      </c>
      <c r="N15" t="s">
        <v>10</v>
      </c>
      <c r="O15" t="s">
        <v>11</v>
      </c>
      <c r="P15" t="s">
        <v>12</v>
      </c>
      <c r="Q15" t="s">
        <v>22</v>
      </c>
      <c r="AB15" s="2">
        <v>-5</v>
      </c>
      <c r="AC15" s="12">
        <f t="shared" ref="AC15:AC25" si="6">(-$D$17-$C$16*AB2)/$C$18</f>
        <v>5</v>
      </c>
    </row>
    <row r="16" spans="1:29" x14ac:dyDescent="0.25">
      <c r="A16" s="2"/>
      <c r="B16" s="2"/>
      <c r="C16" s="4">
        <v>1</v>
      </c>
      <c r="D16" s="1" t="s">
        <v>17</v>
      </c>
      <c r="E16" s="1"/>
      <c r="F16" s="1" t="s">
        <v>16</v>
      </c>
      <c r="H16" s="2">
        <v>0</v>
      </c>
      <c r="I16" s="2">
        <v>0</v>
      </c>
      <c r="J16" s="2">
        <v>0</v>
      </c>
      <c r="K16" s="2">
        <f>IF((H16*$C$16+I16*$C$18+$D$17) &gt; 0, 1,0)</f>
        <v>0</v>
      </c>
      <c r="L16" s="2" t="str">
        <f xml:space="preserve"> IF($K$16=$J16,"OK","Erro")</f>
        <v>OK</v>
      </c>
      <c r="M16" s="2">
        <f>J16-K16</f>
        <v>0</v>
      </c>
      <c r="N16" s="2">
        <f>Q16*M16*$B$15</f>
        <v>0</v>
      </c>
      <c r="O16" s="2">
        <f>M16*Q16*$B$19</f>
        <v>0</v>
      </c>
      <c r="P16" s="2">
        <f>Q16*M16</f>
        <v>0</v>
      </c>
      <c r="Q16" s="2">
        <f>$P$1</f>
        <v>0.5</v>
      </c>
      <c r="AB16" s="2">
        <v>-4</v>
      </c>
      <c r="AC16" s="12">
        <f t="shared" si="6"/>
        <v>4</v>
      </c>
    </row>
    <row r="17" spans="1:29" x14ac:dyDescent="0.25">
      <c r="A17" s="2"/>
      <c r="B17" s="2"/>
      <c r="C17" s="4"/>
      <c r="D17" s="4">
        <v>0</v>
      </c>
      <c r="E17" s="3">
        <f>B15*C16+B19*C18+D17</f>
        <v>0</v>
      </c>
      <c r="F17" s="5">
        <f>IF(E17&gt;0,1,0)</f>
        <v>0</v>
      </c>
      <c r="H17" s="2">
        <v>0</v>
      </c>
      <c r="I17" s="2">
        <v>1</v>
      </c>
      <c r="J17" s="2">
        <v>1</v>
      </c>
      <c r="K17" s="2">
        <f t="shared" ref="K17:K19" si="7">IF((H17*$C$16+I17*$C$18+$D$17) &gt; 0, 1,0)</f>
        <v>1</v>
      </c>
      <c r="L17" s="2" t="str">
        <f xml:space="preserve"> IF($K$17=$J17,"OK","Erro")</f>
        <v>OK</v>
      </c>
      <c r="M17" s="2">
        <f>J17-K17</f>
        <v>0</v>
      </c>
      <c r="N17" s="2">
        <f t="shared" ref="N17:N19" si="8">Q17*M17*$B$15</f>
        <v>0</v>
      </c>
      <c r="O17" s="2">
        <f t="shared" ref="O17:O19" si="9">M17*Q17*$B$19</f>
        <v>0</v>
      </c>
      <c r="P17" s="2">
        <f t="shared" ref="P17:P19" si="10">Q17*M17</f>
        <v>0</v>
      </c>
      <c r="Q17" s="2">
        <f t="shared" ref="Q17:Q19" si="11">$P$1</f>
        <v>0.5</v>
      </c>
      <c r="AB17" s="2">
        <v>-3</v>
      </c>
      <c r="AC17" s="12">
        <f t="shared" si="6"/>
        <v>3</v>
      </c>
    </row>
    <row r="18" spans="1:29" x14ac:dyDescent="0.25">
      <c r="A18" s="2"/>
      <c r="B18" s="2"/>
      <c r="C18" s="4">
        <v>1</v>
      </c>
      <c r="D18" s="2"/>
      <c r="E18" s="2"/>
      <c r="F18" s="2"/>
      <c r="H18" s="2">
        <v>1</v>
      </c>
      <c r="I18" s="2">
        <v>0</v>
      </c>
      <c r="J18" s="2">
        <v>1</v>
      </c>
      <c r="K18" s="2">
        <f t="shared" si="7"/>
        <v>1</v>
      </c>
      <c r="L18" s="2" t="str">
        <f xml:space="preserve"> IF($K$18=$J18,"OK","Erro")</f>
        <v>OK</v>
      </c>
      <c r="M18" s="2">
        <f t="shared" ref="M18:M19" si="12">J18-K18</f>
        <v>0</v>
      </c>
      <c r="N18" s="2">
        <f t="shared" si="8"/>
        <v>0</v>
      </c>
      <c r="O18" s="2">
        <f t="shared" si="9"/>
        <v>0</v>
      </c>
      <c r="P18" s="2">
        <f t="shared" si="10"/>
        <v>0</v>
      </c>
      <c r="Q18" s="2">
        <f t="shared" si="11"/>
        <v>0.5</v>
      </c>
      <c r="AB18" s="2">
        <v>-2</v>
      </c>
      <c r="AC18" s="12">
        <f t="shared" si="6"/>
        <v>2</v>
      </c>
    </row>
    <row r="19" spans="1:29" x14ac:dyDescent="0.25">
      <c r="A19" s="9" t="s">
        <v>3</v>
      </c>
      <c r="B19" s="3">
        <v>0</v>
      </c>
      <c r="C19" s="9" t="s">
        <v>5</v>
      </c>
      <c r="D19" s="2"/>
      <c r="E19" s="2"/>
      <c r="F19" s="2"/>
      <c r="H19" s="2">
        <v>1</v>
      </c>
      <c r="I19" s="2">
        <v>1</v>
      </c>
      <c r="J19" s="2">
        <v>1</v>
      </c>
      <c r="K19" s="2">
        <f t="shared" si="7"/>
        <v>1</v>
      </c>
      <c r="L19" s="2" t="str">
        <f xml:space="preserve"> IF($K$19=$J19,"OK","Erro")</f>
        <v>OK</v>
      </c>
      <c r="M19" s="2">
        <f t="shared" si="12"/>
        <v>0</v>
      </c>
      <c r="N19" s="2">
        <f t="shared" si="8"/>
        <v>0</v>
      </c>
      <c r="O19" s="2">
        <f t="shared" si="9"/>
        <v>0</v>
      </c>
      <c r="P19" s="2">
        <f t="shared" si="10"/>
        <v>0</v>
      </c>
      <c r="Q19" s="2">
        <f t="shared" si="11"/>
        <v>0.5</v>
      </c>
      <c r="AB19" s="2">
        <v>-1</v>
      </c>
      <c r="AC19" s="12">
        <f t="shared" si="6"/>
        <v>1</v>
      </c>
    </row>
    <row r="20" spans="1:29" x14ac:dyDescent="0.25">
      <c r="L20" s="15" t="str">
        <f>IF(AND(L16="OK",L17="OK",L18="OK",L19="OK"),"Encerrou","Há erro")</f>
        <v>Encerrou</v>
      </c>
      <c r="AB20" s="2">
        <v>0</v>
      </c>
      <c r="AC20" s="12">
        <f t="shared" si="6"/>
        <v>0</v>
      </c>
    </row>
    <row r="21" spans="1:29" x14ac:dyDescent="0.25">
      <c r="J21" s="15" t="s">
        <v>26</v>
      </c>
      <c r="K21">
        <v>5</v>
      </c>
      <c r="AB21" s="2">
        <v>1</v>
      </c>
      <c r="AC21" s="12">
        <f t="shared" si="6"/>
        <v>-1</v>
      </c>
    </row>
    <row r="22" spans="1:29" x14ac:dyDescent="0.25">
      <c r="AB22" s="2">
        <v>2</v>
      </c>
      <c r="AC22" s="12">
        <f t="shared" si="6"/>
        <v>-2</v>
      </c>
    </row>
    <row r="23" spans="1:29" x14ac:dyDescent="0.25">
      <c r="AB23" s="2">
        <v>3</v>
      </c>
      <c r="AC23" s="12">
        <f t="shared" si="6"/>
        <v>-3</v>
      </c>
    </row>
    <row r="24" spans="1:29" x14ac:dyDescent="0.25">
      <c r="B24" s="7" t="s">
        <v>13</v>
      </c>
      <c r="AB24" s="2">
        <v>4</v>
      </c>
      <c r="AC24" s="12">
        <f t="shared" si="6"/>
        <v>-4</v>
      </c>
    </row>
    <row r="25" spans="1:29" x14ac:dyDescent="0.25">
      <c r="AB25" s="2">
        <v>5</v>
      </c>
      <c r="AC25" s="12">
        <f t="shared" si="6"/>
        <v>-5</v>
      </c>
    </row>
    <row r="26" spans="1:29" ht="5.25" customHeight="1" x14ac:dyDescent="0.25"/>
    <row r="27" spans="1:29" ht="5.25" customHeight="1" x14ac:dyDescent="0.25"/>
    <row r="28" spans="1:29" ht="5.25" customHeight="1" x14ac:dyDescent="0.25"/>
    <row r="29" spans="1:29" ht="5.25" customHeight="1" x14ac:dyDescent="0.25"/>
    <row r="30" spans="1:29" ht="5.25" customHeight="1" x14ac:dyDescent="0.25"/>
    <row r="31" spans="1:29" ht="5.25" customHeight="1" x14ac:dyDescent="0.25"/>
    <row r="32" spans="1:29" ht="5.25" customHeight="1" x14ac:dyDescent="0.25"/>
    <row r="33" spans="1:29" ht="5.25" customHeight="1" x14ac:dyDescent="0.25"/>
    <row r="34" spans="1:29" ht="15.75" x14ac:dyDescent="0.25">
      <c r="A34" s="17" t="s">
        <v>23</v>
      </c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AB34" s="16" t="s">
        <v>24</v>
      </c>
      <c r="AC34" s="16"/>
    </row>
    <row r="35" spans="1:29" x14ac:dyDescent="0.25">
      <c r="A35" s="9" t="s">
        <v>2</v>
      </c>
      <c r="B35" s="3">
        <v>1</v>
      </c>
      <c r="C35" s="9" t="s">
        <v>4</v>
      </c>
      <c r="D35" s="9" t="s">
        <v>6</v>
      </c>
      <c r="E35" s="9" t="s">
        <v>7</v>
      </c>
      <c r="F35" s="10" t="s">
        <v>14</v>
      </c>
      <c r="H35" s="2" t="s">
        <v>2</v>
      </c>
      <c r="I35" s="2" t="s">
        <v>3</v>
      </c>
      <c r="J35" t="s">
        <v>18</v>
      </c>
      <c r="K35" t="s">
        <v>15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22</v>
      </c>
      <c r="AB35" s="2">
        <v>-5</v>
      </c>
      <c r="AC35" s="12" t="e">
        <f t="shared" ref="AC35:AC45" si="13">(-$D$37-$C$36*AB15)/$C$38</f>
        <v>#DIV/0!</v>
      </c>
    </row>
    <row r="36" spans="1:29" x14ac:dyDescent="0.25">
      <c r="A36" s="2"/>
      <c r="B36" s="2"/>
      <c r="C36" s="4">
        <v>-0.5</v>
      </c>
      <c r="D36" s="1" t="s">
        <v>17</v>
      </c>
      <c r="E36" s="1"/>
      <c r="F36" s="1" t="s">
        <v>16</v>
      </c>
      <c r="H36" s="2">
        <v>0</v>
      </c>
      <c r="I36" s="2">
        <v>0</v>
      </c>
      <c r="J36" s="2">
        <v>0</v>
      </c>
      <c r="K36" s="2">
        <f>IF((H36*$C$36+I36*$C$38+$D$37) &gt; 0, 1,0)</f>
        <v>1</v>
      </c>
      <c r="L36" s="2" t="str">
        <f xml:space="preserve"> IF($K$36=$J36,"OK","Erro")</f>
        <v>Erro</v>
      </c>
      <c r="M36" s="2">
        <f>J36-K36</f>
        <v>-1</v>
      </c>
      <c r="N36" s="2">
        <f>Q36*M36*$B$35</f>
        <v>-0.5</v>
      </c>
      <c r="O36" s="2">
        <f>M36*Q36*$B$39</f>
        <v>-0.5</v>
      </c>
      <c r="P36" s="2">
        <f>Q36*M36</f>
        <v>-0.5</v>
      </c>
      <c r="Q36" s="2">
        <f>$P$1</f>
        <v>0.5</v>
      </c>
      <c r="AB36" s="2">
        <v>-4</v>
      </c>
      <c r="AC36" s="12" t="e">
        <f t="shared" si="13"/>
        <v>#DIV/0!</v>
      </c>
    </row>
    <row r="37" spans="1:29" x14ac:dyDescent="0.25">
      <c r="A37" s="2"/>
      <c r="B37" s="2"/>
      <c r="C37" s="4"/>
      <c r="D37" s="4">
        <v>0.5</v>
      </c>
      <c r="E37" s="3">
        <f>B35*C36+B39*C38+D37</f>
        <v>0</v>
      </c>
      <c r="F37" s="5">
        <f>IF(E37&gt;0,1,0)</f>
        <v>0</v>
      </c>
      <c r="H37" s="2">
        <v>0</v>
      </c>
      <c r="I37" s="2">
        <v>1</v>
      </c>
      <c r="J37" s="2">
        <v>1</v>
      </c>
      <c r="K37" s="2">
        <f>IF((H37*$C$36+I37*$C$38+$D$37) &gt; 0, 1,0)</f>
        <v>1</v>
      </c>
      <c r="L37" s="2" t="str">
        <f xml:space="preserve"> IF($K$37=$J37,"OK","Erro")</f>
        <v>OK</v>
      </c>
      <c r="M37" s="2">
        <f>J37-K37</f>
        <v>0</v>
      </c>
      <c r="N37" s="2">
        <f t="shared" ref="N37:N39" si="14">Q37*M37*$B$35</f>
        <v>0</v>
      </c>
      <c r="O37" s="2">
        <f t="shared" ref="O37:O39" si="15">M37*Q37*$B$39</f>
        <v>0</v>
      </c>
      <c r="P37" s="2">
        <f t="shared" ref="P37:P39" si="16">Q37*M37</f>
        <v>0</v>
      </c>
      <c r="Q37" s="2">
        <f t="shared" ref="Q37:Q39" si="17">$P$1</f>
        <v>0.5</v>
      </c>
      <c r="AB37" s="2">
        <v>-3</v>
      </c>
      <c r="AC37" s="12" t="e">
        <f t="shared" si="13"/>
        <v>#DIV/0!</v>
      </c>
    </row>
    <row r="38" spans="1:29" x14ac:dyDescent="0.25">
      <c r="A38" s="2"/>
      <c r="B38" s="2"/>
      <c r="C38" s="4">
        <v>0</v>
      </c>
      <c r="D38" s="2"/>
      <c r="E38" s="2"/>
      <c r="F38" s="2"/>
      <c r="H38" s="2">
        <v>1</v>
      </c>
      <c r="I38" s="2">
        <v>0</v>
      </c>
      <c r="J38" s="2">
        <v>1</v>
      </c>
      <c r="K38" s="2">
        <f>IF((H38*$C$36+I38*$C$38+$D$37) &gt; 0, 1,0)</f>
        <v>0</v>
      </c>
      <c r="L38" s="2" t="str">
        <f xml:space="preserve"> IF($K$38=$J38,"OK","Erro")</f>
        <v>Erro</v>
      </c>
      <c r="M38" s="2">
        <f t="shared" ref="M38:M39" si="18">J38-K38</f>
        <v>1</v>
      </c>
      <c r="N38" s="2">
        <f t="shared" si="14"/>
        <v>0.5</v>
      </c>
      <c r="O38" s="2">
        <f t="shared" si="15"/>
        <v>0.5</v>
      </c>
      <c r="P38" s="2">
        <f t="shared" si="16"/>
        <v>0.5</v>
      </c>
      <c r="Q38" s="2">
        <f t="shared" si="17"/>
        <v>0.5</v>
      </c>
      <c r="AB38" s="2">
        <v>-2</v>
      </c>
      <c r="AC38" s="12" t="e">
        <f t="shared" si="13"/>
        <v>#DIV/0!</v>
      </c>
    </row>
    <row r="39" spans="1:29" x14ac:dyDescent="0.25">
      <c r="A39" s="9" t="s">
        <v>3</v>
      </c>
      <c r="B39" s="3">
        <v>1</v>
      </c>
      <c r="C39" s="9" t="s">
        <v>5</v>
      </c>
      <c r="D39" s="2"/>
      <c r="E39" s="2"/>
      <c r="F39" s="2"/>
      <c r="H39" s="2">
        <v>1</v>
      </c>
      <c r="I39" s="2">
        <v>1</v>
      </c>
      <c r="J39" s="2">
        <v>0</v>
      </c>
      <c r="K39" s="2">
        <f t="shared" ref="K39" si="19">IF((H39*$C$36+I39*$C$38+$D$37) &gt; 0, 1,0)</f>
        <v>0</v>
      </c>
      <c r="L39" s="2" t="str">
        <f xml:space="preserve"> IF($K$39=$J39,"OK","Erro")</f>
        <v>OK</v>
      </c>
      <c r="M39" s="2">
        <f t="shared" si="18"/>
        <v>0</v>
      </c>
      <c r="N39" s="2">
        <f t="shared" si="14"/>
        <v>0</v>
      </c>
      <c r="O39" s="2">
        <f t="shared" si="15"/>
        <v>0</v>
      </c>
      <c r="P39" s="2">
        <f t="shared" si="16"/>
        <v>0</v>
      </c>
      <c r="Q39" s="2">
        <f t="shared" si="17"/>
        <v>0.5</v>
      </c>
      <c r="AB39" s="2">
        <v>-1</v>
      </c>
      <c r="AC39" s="12" t="e">
        <f t="shared" si="13"/>
        <v>#DIV/0!</v>
      </c>
    </row>
    <row r="40" spans="1:29" x14ac:dyDescent="0.25">
      <c r="L40" s="15" t="str">
        <f>IF(AND(L36="OK",L37="OK",L38="OK",L39="OK"),"Encerrou","Há erro")</f>
        <v>Há erro</v>
      </c>
      <c r="AB40" s="2">
        <v>0</v>
      </c>
      <c r="AC40" s="12" t="e">
        <f t="shared" si="13"/>
        <v>#DIV/0!</v>
      </c>
    </row>
    <row r="41" spans="1:29" x14ac:dyDescent="0.25">
      <c r="J41" s="15" t="s">
        <v>26</v>
      </c>
      <c r="K41">
        <v>44</v>
      </c>
      <c r="AB41" s="2">
        <v>1</v>
      </c>
      <c r="AC41" s="12" t="e">
        <f t="shared" si="13"/>
        <v>#DIV/0!</v>
      </c>
    </row>
    <row r="42" spans="1:29" x14ac:dyDescent="0.25">
      <c r="AB42" s="2">
        <v>2</v>
      </c>
      <c r="AC42" s="12" t="e">
        <f t="shared" si="13"/>
        <v>#DIV/0!</v>
      </c>
    </row>
    <row r="43" spans="1:29" x14ac:dyDescent="0.25">
      <c r="AB43" s="2">
        <v>3</v>
      </c>
      <c r="AC43" s="12" t="e">
        <f t="shared" si="13"/>
        <v>#DIV/0!</v>
      </c>
    </row>
    <row r="44" spans="1:29" x14ac:dyDescent="0.25">
      <c r="B44" s="7" t="s">
        <v>13</v>
      </c>
      <c r="AB44" s="2">
        <v>4</v>
      </c>
      <c r="AC44" s="12" t="e">
        <f t="shared" si="13"/>
        <v>#DIV/0!</v>
      </c>
    </row>
    <row r="45" spans="1:29" x14ac:dyDescent="0.25">
      <c r="AB45" s="2">
        <v>5</v>
      </c>
      <c r="AC45" s="12" t="e">
        <f t="shared" si="13"/>
        <v>#DIV/0!</v>
      </c>
    </row>
    <row r="46" spans="1:29" ht="6.75" customHeight="1" x14ac:dyDescent="0.25"/>
    <row r="47" spans="1:29" ht="6.75" customHeight="1" x14ac:dyDescent="0.25"/>
    <row r="48" spans="1:29" ht="6.75" customHeight="1" x14ac:dyDescent="0.25"/>
    <row r="49" spans="1:29" ht="6.75" customHeight="1" x14ac:dyDescent="0.25"/>
    <row r="50" spans="1:29" ht="6.75" customHeight="1" x14ac:dyDescent="0.25"/>
    <row r="51" spans="1:29" ht="15.75" x14ac:dyDescent="0.25">
      <c r="A51" s="17" t="s">
        <v>25</v>
      </c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AB51" s="16" t="s">
        <v>25</v>
      </c>
      <c r="AC51" s="16"/>
    </row>
    <row r="52" spans="1:29" x14ac:dyDescent="0.25">
      <c r="A52" s="9" t="s">
        <v>2</v>
      </c>
      <c r="B52" s="3">
        <v>0</v>
      </c>
      <c r="C52" s="9" t="s">
        <v>4</v>
      </c>
      <c r="D52" s="9" t="s">
        <v>6</v>
      </c>
      <c r="E52" s="9" t="s">
        <v>7</v>
      </c>
      <c r="F52" s="10" t="s">
        <v>14</v>
      </c>
      <c r="H52" s="2" t="s">
        <v>2</v>
      </c>
      <c r="I52" s="2" t="s">
        <v>3</v>
      </c>
      <c r="J52" t="s">
        <v>18</v>
      </c>
      <c r="K52" t="s">
        <v>15</v>
      </c>
      <c r="L52" t="s">
        <v>8</v>
      </c>
      <c r="M52" t="s">
        <v>9</v>
      </c>
      <c r="N52" t="s">
        <v>10</v>
      </c>
      <c r="O52" t="s">
        <v>11</v>
      </c>
      <c r="P52" t="s">
        <v>12</v>
      </c>
      <c r="Q52" t="s">
        <v>22</v>
      </c>
      <c r="AB52" s="2">
        <v>-5</v>
      </c>
      <c r="AC52" s="12">
        <f>(-$D$54-$C$53*AB52)/$C$55</f>
        <v>13</v>
      </c>
    </row>
    <row r="53" spans="1:29" x14ac:dyDescent="0.25">
      <c r="A53" s="2"/>
      <c r="B53" s="2"/>
      <c r="C53" s="4">
        <v>-1</v>
      </c>
      <c r="D53" s="6" t="s">
        <v>17</v>
      </c>
      <c r="E53" s="6"/>
      <c r="F53" s="6" t="s">
        <v>16</v>
      </c>
      <c r="H53" s="2">
        <v>0</v>
      </c>
      <c r="I53" s="2">
        <v>0</v>
      </c>
      <c r="J53" s="2">
        <v>1</v>
      </c>
      <c r="K53" s="2">
        <f>IF((H53*$C$53+I53*$C$55+$D$54) &gt; 0, 1,0)</f>
        <v>1</v>
      </c>
      <c r="L53" s="2" t="str">
        <f xml:space="preserve"> IF($K$53=$J53,"OK","Erro")</f>
        <v>OK</v>
      </c>
      <c r="M53" s="2">
        <f>J53-K53</f>
        <v>0</v>
      </c>
      <c r="N53" s="2">
        <f>Q53*M53*$B$52</f>
        <v>0</v>
      </c>
      <c r="O53" s="2">
        <f>M53*Q53*$B$56</f>
        <v>0</v>
      </c>
      <c r="P53" s="2">
        <f>Q53*M53</f>
        <v>0</v>
      </c>
      <c r="Q53" s="2">
        <f>$P$1</f>
        <v>0.5</v>
      </c>
      <c r="AB53" s="2">
        <v>-4</v>
      </c>
      <c r="AC53" s="12">
        <f t="shared" ref="AC53:AC62" si="20">(-$D$54-$C$53*AB53)/$C$55</f>
        <v>11</v>
      </c>
    </row>
    <row r="54" spans="1:29" x14ac:dyDescent="0.25">
      <c r="A54" s="2"/>
      <c r="B54" s="2"/>
      <c r="C54" s="4"/>
      <c r="D54" s="4">
        <v>1.5</v>
      </c>
      <c r="E54" s="3">
        <f>B52*C53+B56*C55+D54</f>
        <v>1</v>
      </c>
      <c r="F54" s="5">
        <f>IF(E54&gt;0,1,0)</f>
        <v>1</v>
      </c>
      <c r="H54" s="2">
        <v>0</v>
      </c>
      <c r="I54" s="2">
        <v>1</v>
      </c>
      <c r="J54" s="2">
        <v>1</v>
      </c>
      <c r="K54" s="2">
        <f>IF((H54*$C$53+I54*$C$55+$D$54) &gt; 0, 1,0)</f>
        <v>1</v>
      </c>
      <c r="L54" s="2" t="str">
        <f xml:space="preserve"> IF($K$54=$J54,"OK","Erro")</f>
        <v>OK</v>
      </c>
      <c r="M54" s="2">
        <f>J54-K54</f>
        <v>0</v>
      </c>
      <c r="N54" s="2">
        <f>Q54*M54*$B$52</f>
        <v>0</v>
      </c>
      <c r="O54" s="2">
        <f>M54*Q54*$B$56</f>
        <v>0</v>
      </c>
      <c r="P54" s="2">
        <f t="shared" ref="P54:P56" si="21">Q54*M54</f>
        <v>0</v>
      </c>
      <c r="Q54" s="2">
        <f t="shared" ref="Q54:Q56" si="22">$P$1</f>
        <v>0.5</v>
      </c>
      <c r="AB54" s="2">
        <v>-3</v>
      </c>
      <c r="AC54" s="12">
        <f t="shared" si="20"/>
        <v>9</v>
      </c>
    </row>
    <row r="55" spans="1:29" x14ac:dyDescent="0.25">
      <c r="A55" s="2"/>
      <c r="C55" s="4">
        <v>-0.5</v>
      </c>
      <c r="D55" s="9" t="s">
        <v>20</v>
      </c>
      <c r="E55" s="2"/>
      <c r="F55" s="2"/>
      <c r="H55" s="2">
        <v>1</v>
      </c>
      <c r="I55" s="2">
        <v>0</v>
      </c>
      <c r="J55" s="2">
        <v>1</v>
      </c>
      <c r="K55" s="2">
        <f t="shared" ref="K55:K56" si="23">IF((H55*$C$53+I55*$C$55+$D$54) &gt; 0, 1,0)</f>
        <v>1</v>
      </c>
      <c r="L55" s="2" t="str">
        <f xml:space="preserve"> IF($K$55=$J55,"OK","Erro")</f>
        <v>OK</v>
      </c>
      <c r="M55" s="2">
        <f t="shared" ref="M55:M56" si="24">J55-K55</f>
        <v>0</v>
      </c>
      <c r="N55" s="2">
        <f>Q55*M55*$B$52</f>
        <v>0</v>
      </c>
      <c r="O55" s="2">
        <f>M55*Q55*$B$56</f>
        <v>0</v>
      </c>
      <c r="P55" s="2">
        <f t="shared" si="21"/>
        <v>0</v>
      </c>
      <c r="Q55" s="2">
        <f t="shared" si="22"/>
        <v>0.5</v>
      </c>
      <c r="AB55" s="2">
        <v>-2</v>
      </c>
      <c r="AC55" s="12">
        <f t="shared" si="20"/>
        <v>7</v>
      </c>
    </row>
    <row r="56" spans="1:29" x14ac:dyDescent="0.25">
      <c r="A56" s="9" t="s">
        <v>3</v>
      </c>
      <c r="B56" s="3">
        <v>1</v>
      </c>
      <c r="C56" s="9" t="s">
        <v>5</v>
      </c>
      <c r="D56" s="2"/>
      <c r="E56" s="2"/>
      <c r="F56" s="2"/>
      <c r="H56" s="2">
        <v>1</v>
      </c>
      <c r="I56" s="2">
        <v>1</v>
      </c>
      <c r="J56" s="2">
        <v>0</v>
      </c>
      <c r="K56" s="2">
        <f t="shared" si="23"/>
        <v>0</v>
      </c>
      <c r="L56" s="2" t="str">
        <f xml:space="preserve"> IF($K$56=$J56,"OK","Erro")</f>
        <v>OK</v>
      </c>
      <c r="M56" s="2">
        <f t="shared" si="24"/>
        <v>0</v>
      </c>
      <c r="N56" s="2">
        <f>Q56*M56*$B$52</f>
        <v>0</v>
      </c>
      <c r="O56" s="2">
        <f>M56*Q56*$B$56</f>
        <v>0</v>
      </c>
      <c r="P56" s="2">
        <f t="shared" si="21"/>
        <v>0</v>
      </c>
      <c r="Q56" s="2">
        <f t="shared" si="22"/>
        <v>0.5</v>
      </c>
      <c r="AB56" s="2">
        <v>-1</v>
      </c>
      <c r="AC56" s="12">
        <f t="shared" si="20"/>
        <v>5</v>
      </c>
    </row>
    <row r="57" spans="1:29" x14ac:dyDescent="0.25">
      <c r="L57" s="15" t="str">
        <f>IF(AND(L53="OK",L54="OK",L55="OK",L56="OK"),"Encerrou","Há erro")</f>
        <v>Encerrou</v>
      </c>
      <c r="AB57" s="2">
        <v>0</v>
      </c>
      <c r="AC57" s="12">
        <f t="shared" si="20"/>
        <v>3</v>
      </c>
    </row>
    <row r="58" spans="1:29" x14ac:dyDescent="0.25">
      <c r="AB58" s="2">
        <v>1</v>
      </c>
      <c r="AC58" s="12">
        <f t="shared" si="20"/>
        <v>1</v>
      </c>
    </row>
    <row r="59" spans="1:29" x14ac:dyDescent="0.25">
      <c r="J59" s="15" t="s">
        <v>26</v>
      </c>
      <c r="K59">
        <v>26</v>
      </c>
      <c r="AB59" s="2">
        <v>2</v>
      </c>
      <c r="AC59" s="12">
        <f t="shared" si="20"/>
        <v>-1</v>
      </c>
    </row>
    <row r="60" spans="1:29" x14ac:dyDescent="0.25">
      <c r="AB60" s="2">
        <v>3</v>
      </c>
      <c r="AC60" s="12">
        <f t="shared" si="20"/>
        <v>-3</v>
      </c>
    </row>
    <row r="61" spans="1:29" x14ac:dyDescent="0.25">
      <c r="B61" s="7" t="s">
        <v>13</v>
      </c>
      <c r="AB61" s="2">
        <v>4</v>
      </c>
      <c r="AC61" s="12">
        <f t="shared" si="20"/>
        <v>-5</v>
      </c>
    </row>
    <row r="62" spans="1:29" x14ac:dyDescent="0.25">
      <c r="AB62" s="2">
        <v>5</v>
      </c>
      <c r="AC62" s="12">
        <f t="shared" si="20"/>
        <v>-7</v>
      </c>
    </row>
  </sheetData>
  <mergeCells count="8">
    <mergeCell ref="A2:Q2"/>
    <mergeCell ref="A14:Q14"/>
    <mergeCell ref="AB1:AC1"/>
    <mergeCell ref="AB51:AC51"/>
    <mergeCell ref="A51:Q51"/>
    <mergeCell ref="AB14:AC14"/>
    <mergeCell ref="A34:Q34"/>
    <mergeCell ref="AB34:AC34"/>
  </mergeCells>
  <conditionalFormatting sqref="L4:L7">
    <cfRule type="cellIs" dxfId="23" priority="35" operator="equal">
      <formula>"Erro"</formula>
    </cfRule>
    <cfRule type="cellIs" dxfId="22" priority="36" operator="equal">
      <formula>"OK"</formula>
    </cfRule>
    <cfRule type="cellIs" dxfId="21" priority="37" operator="equal">
      <formula>"""OK"""</formula>
    </cfRule>
    <cfRule type="cellIs" dxfId="20" priority="38" operator="equal">
      <formula>"""OK"""</formula>
    </cfRule>
    <cfRule type="iconSet" priority="39">
      <iconSet iconSet="3TrafficLights2">
        <cfvo type="percent" val="0"/>
        <cfvo type="percent" val="33"/>
        <cfvo type="percent" val="67"/>
      </iconSet>
    </cfRule>
  </conditionalFormatting>
  <conditionalFormatting sqref="L16:L19">
    <cfRule type="cellIs" dxfId="19" priority="20" operator="equal">
      <formula>"Erro"</formula>
    </cfRule>
    <cfRule type="cellIs" dxfId="18" priority="21" operator="equal">
      <formula>"OK"</formula>
    </cfRule>
    <cfRule type="cellIs" dxfId="17" priority="22" operator="equal">
      <formula>"""OK"""</formula>
    </cfRule>
    <cfRule type="cellIs" dxfId="16" priority="23" operator="equal">
      <formula>"""OK"""</formula>
    </cfRule>
    <cfRule type="iconSet" priority="24">
      <iconSet iconSet="3TrafficLights2">
        <cfvo type="percent" val="0"/>
        <cfvo type="percent" val="33"/>
        <cfvo type="percent" val="67"/>
      </iconSet>
    </cfRule>
  </conditionalFormatting>
  <conditionalFormatting sqref="L36:L39">
    <cfRule type="cellIs" dxfId="15" priority="15" operator="equal">
      <formula>"Erro"</formula>
    </cfRule>
    <cfRule type="cellIs" dxfId="14" priority="16" operator="equal">
      <formula>"OK"</formula>
    </cfRule>
    <cfRule type="cellIs" dxfId="13" priority="17" operator="equal">
      <formula>"""OK"""</formula>
    </cfRule>
    <cfRule type="cellIs" dxfId="12" priority="18" operator="equal">
      <formula>"""OK"""</formula>
    </cfRule>
    <cfRule type="iconSet" priority="19">
      <iconSet iconSet="3TrafficLights2">
        <cfvo type="percent" val="0"/>
        <cfvo type="percent" val="33"/>
        <cfvo type="percent" val="67"/>
      </iconSet>
    </cfRule>
  </conditionalFormatting>
  <conditionalFormatting sqref="L53:L56">
    <cfRule type="cellIs" dxfId="11" priority="10" operator="equal">
      <formula>"Erro"</formula>
    </cfRule>
    <cfRule type="cellIs" dxfId="10" priority="11" operator="equal">
      <formula>"OK"</formula>
    </cfRule>
    <cfRule type="cellIs" dxfId="9" priority="12" operator="equal">
      <formula>"""OK"""</formula>
    </cfRule>
    <cfRule type="cellIs" dxfId="8" priority="13" operator="equal">
      <formula>"""OK"""</formula>
    </cfRule>
    <cfRule type="iconSet" priority="14">
      <iconSet iconSet="3TrafficLights2">
        <cfvo type="percent" val="0"/>
        <cfvo type="percent" val="33"/>
        <cfvo type="percent" val="67"/>
      </iconSet>
    </cfRule>
  </conditionalFormatting>
  <conditionalFormatting sqref="L8">
    <cfRule type="cellIs" dxfId="7" priority="7" operator="equal">
      <formula>"Encerrou"</formula>
    </cfRule>
    <cfRule type="cellIs" dxfId="6" priority="8" operator="equal">
      <formula>"Há erro"</formula>
    </cfRule>
  </conditionalFormatting>
  <conditionalFormatting sqref="L20">
    <cfRule type="cellIs" dxfId="5" priority="5" operator="equal">
      <formula>"Encerrou"</formula>
    </cfRule>
    <cfRule type="cellIs" dxfId="4" priority="6" operator="equal">
      <formula>"Há erro"</formula>
    </cfRule>
  </conditionalFormatting>
  <conditionalFormatting sqref="L40">
    <cfRule type="cellIs" dxfId="3" priority="3" operator="equal">
      <formula>"Encerrou"</formula>
    </cfRule>
    <cfRule type="cellIs" dxfId="2" priority="4" operator="equal">
      <formula>"Há erro"</formula>
    </cfRule>
  </conditionalFormatting>
  <conditionalFormatting sqref="L57">
    <cfRule type="cellIs" dxfId="1" priority="1" operator="equal">
      <formula>"Encerrou"</formula>
    </cfRule>
    <cfRule type="cellIs" dxfId="0" priority="2" operator="equal">
      <formula>"Há erro"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AND">
                <anchor moveWithCells="1" siz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2</xdr:col>
                    <xdr:colOff>523875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OR">
                <anchor moveWithCells="1" sizeWithCells="1">
                  <from>
                    <xdr:col>1</xdr:col>
                    <xdr:colOff>9525</xdr:colOff>
                    <xdr:row>20</xdr:row>
                    <xdr:rowOff>0</xdr:rowOff>
                  </from>
                  <to>
                    <xdr:col>2</xdr:col>
                    <xdr:colOff>533400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un_Passo_AND">
                <anchor moveWithCells="1">
                  <from>
                    <xdr:col>3</xdr:col>
                    <xdr:colOff>19050</xdr:colOff>
                    <xdr:row>9</xdr:row>
                    <xdr:rowOff>9525</xdr:rowOff>
                  </from>
                  <to>
                    <xdr:col>5</xdr:col>
                    <xdr:colOff>314325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un_Passo_OR">
                <anchor moveWithCells="1">
                  <from>
                    <xdr:col>3</xdr:col>
                    <xdr:colOff>28575</xdr:colOff>
                    <xdr:row>20</xdr:row>
                    <xdr:rowOff>9525</xdr:rowOff>
                  </from>
                  <to>
                    <xdr:col>5</xdr:col>
                    <xdr:colOff>295275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setXOR">
                <anchor moveWithCells="1" sizeWithCells="1">
                  <from>
                    <xdr:col>1</xdr:col>
                    <xdr:colOff>9525</xdr:colOff>
                    <xdr:row>40</xdr:row>
                    <xdr:rowOff>0</xdr:rowOff>
                  </from>
                  <to>
                    <xdr:col>2</xdr:col>
                    <xdr:colOff>533400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un_Passo_XOR">
                <anchor moveWithCells="1">
                  <from>
                    <xdr:col>3</xdr:col>
                    <xdr:colOff>28575</xdr:colOff>
                    <xdr:row>40</xdr:row>
                    <xdr:rowOff>9525</xdr:rowOff>
                  </from>
                  <to>
                    <xdr:col>5</xdr:col>
                    <xdr:colOff>295275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setNAND">
                <anchor moveWithCells="1" sizeWithCells="1">
                  <from>
                    <xdr:col>1</xdr:col>
                    <xdr:colOff>19050</xdr:colOff>
                    <xdr:row>58</xdr:row>
                    <xdr:rowOff>19050</xdr:rowOff>
                  </from>
                  <to>
                    <xdr:col>2</xdr:col>
                    <xdr:colOff>523875</xdr:colOff>
                    <xdr:row>59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Run_Passo_NAND">
                <anchor moveWithCells="1">
                  <from>
                    <xdr:col>3</xdr:col>
                    <xdr:colOff>19050</xdr:colOff>
                    <xdr:row>58</xdr:row>
                    <xdr:rowOff>9525</xdr:rowOff>
                  </from>
                  <to>
                    <xdr:col>5</xdr:col>
                    <xdr:colOff>314325</xdr:colOff>
                    <xdr:row>59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2</vt:i4>
      </vt:variant>
    </vt:vector>
  </HeadingPairs>
  <TitlesOfParts>
    <vt:vector size="5" baseType="lpstr">
      <vt:lpstr>Plan1</vt:lpstr>
      <vt:lpstr>Plan2</vt:lpstr>
      <vt:lpstr>Plan3</vt:lpstr>
      <vt:lpstr>Gráf2</vt:lpstr>
      <vt:lpstr>Gráf1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RCS</dc:creator>
  <cp:lastModifiedBy>robertocsa Santos</cp:lastModifiedBy>
  <dcterms:created xsi:type="dcterms:W3CDTF">2020-10-01T11:17:01Z</dcterms:created>
  <dcterms:modified xsi:type="dcterms:W3CDTF">2021-12-23T20:31:35Z</dcterms:modified>
</cp:coreProperties>
</file>